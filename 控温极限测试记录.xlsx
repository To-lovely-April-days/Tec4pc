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最低温" sheetId="2" state="visible" r:id="rId4"/>
    <sheet name="最高温" sheetId="3" state="visible" r:id="rId5"/>
    <sheet name="尽快vs按速率" sheetId="4" state="visible" r:id="rId6"/>
    <sheet name="恒温稳定性" sheetId="5" state="visible" r:id="rId7"/>
    <sheet name="换向与死区" sheetId="6" state="visible" r:id="rId8"/>
    <sheet name="结果汇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Noto Sans CJK SC"/>
            <family val="2"/>
          </rPr>
          <t xml:space="preserve">填测试当天</t>
        </r>
      </text>
    </comment>
    <comment ref="B5" authorId="0">
      <text>
        <r>
          <rPr>
            <sz val="10"/>
            <rFont val="Noto Sans CJK SC"/>
            <family val="2"/>
          </rPr>
          <t xml:space="preserve">示例值 </t>
        </r>
        <r>
          <rPr>
            <sz val="10"/>
            <rFont val="Arial"/>
            <family val="2"/>
          </rPr>
          <t xml:space="preserve">25</t>
        </r>
        <r>
          <rPr>
            <sz val="10"/>
            <rFont val="Noto Sans CJK SC"/>
            <family val="2"/>
          </rPr>
          <t xml:space="preserve">，填现场实测</t>
        </r>
      </text>
    </comment>
    <comment ref="B6" authorId="0">
      <text>
        <r>
          <rPr>
            <sz val="10"/>
            <rFont val="Noto Sans CJK SC"/>
            <family val="2"/>
          </rPr>
          <t xml:space="preserve">示例值</t>
        </r>
      </text>
    </comment>
    <comment ref="B7" authorId="0">
      <text>
        <r>
          <rPr>
            <sz val="10"/>
            <rFont val="Noto Sans CJK SC"/>
            <family val="2"/>
          </rPr>
          <t xml:space="preserve">下拉选；这张表按「尽快」做</t>
        </r>
      </text>
    </comment>
    <comment ref="B8" authorId="0">
      <text>
        <r>
          <rPr>
            <sz val="10"/>
            <rFont val="Noto Sans CJK SC"/>
            <family val="2"/>
          </rPr>
          <t xml:space="preserve">打到哪一号</t>
        </r>
      </text>
    </comment>
    <comment ref="E5" authorId="0">
      <text>
        <r>
          <rPr>
            <sz val="10"/>
            <rFont val="Arial"/>
            <family val="2"/>
          </rPr>
          <t xml:space="preserve">TEC </t>
        </r>
        <r>
          <rPr>
            <sz val="10"/>
            <rFont val="Noto Sans CJK SC"/>
            <family val="2"/>
          </rPr>
          <t xml:space="preserve">热端冷却水；没有就填「无」</t>
        </r>
      </text>
    </comment>
    <comment ref="E6" authorId="0">
      <text>
        <r>
          <rPr>
            <sz val="10"/>
            <rFont val="Noto Sans CJK SC"/>
            <family val="2"/>
          </rPr>
          <t xml:space="preserve">示例值</t>
        </r>
      </text>
    </comment>
    <comment ref="E7" authorId="0">
      <text>
        <r>
          <rPr>
            <sz val="10"/>
            <rFont val="Noto Sans CJK SC"/>
            <family val="2"/>
          </rPr>
          <t xml:space="preserve">参数窗「工位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最大输出占空比」</t>
        </r>
      </text>
    </comment>
    <comment ref="M12" authorId="0">
      <text>
        <r>
          <rPr>
            <sz val="10"/>
            <rFont val="Noto Sans CJK SC"/>
            <family val="2"/>
          </rPr>
          <t xml:space="preserve">到达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夹套首次 ≤ 目标 </t>
        </r>
        <r>
          <rPr>
            <sz val="10"/>
            <rFont val="Arial"/>
            <family val="2"/>
          </rPr>
          <t xml:space="preserve">+ 0.5 ℃</t>
        </r>
        <r>
          <rPr>
            <sz val="10"/>
            <rFont val="Noto Sans CJK SC"/>
            <family val="2"/>
          </rPr>
          <t xml:space="preserve">；一直没到显示「未到」</t>
        </r>
      </text>
    </comment>
    <comment ref="M14" authorId="0">
      <text>
        <r>
          <rPr>
            <sz val="10"/>
            <rFont val="Noto Sans CJK SC"/>
            <family val="2"/>
          </rPr>
          <t xml:space="preserve">按 </t>
        </r>
        <r>
          <rPr>
            <sz val="10"/>
            <rFont val="Arial"/>
            <family val="2"/>
          </rPr>
          <t xml:space="preserve">t=0 </t>
        </r>
        <r>
          <rPr>
            <sz val="10"/>
            <rFont val="Noto Sans CJK SC"/>
            <family val="2"/>
          </rPr>
          <t xml:space="preserve">那行和往下第 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Noto Sans CJK SC"/>
            <family val="2"/>
          </rPr>
          <t xml:space="preserve">行两点算；时间间隔改了公式照 </t>
        </r>
        <r>
          <rPr>
            <sz val="10"/>
            <rFont val="Arial"/>
            <family val="2"/>
          </rPr>
          <t xml:space="preserve">A </t>
        </r>
        <r>
          <rPr>
            <sz val="10"/>
            <rFont val="Noto Sans CJK SC"/>
            <family val="2"/>
          </rPr>
          <t xml:space="preserve">列实际值算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Noto Sans CJK SC"/>
            <family val="2"/>
          </rPr>
          <t xml:space="preserve">示例值；别超过超温上限</t>
        </r>
      </text>
    </comment>
    <comment ref="B8" authorId="0">
      <text>
        <r>
          <rPr>
            <sz val="10"/>
            <rFont val="Noto Sans CJK SC"/>
            <family val="2"/>
          </rPr>
          <t xml:space="preserve">看面板日志「已切至电加热」的时间</t>
        </r>
      </text>
    </comment>
    <comment ref="E5" authorId="0">
      <text>
        <r>
          <rPr>
            <sz val="10"/>
            <rFont val="Noto Sans CJK SC"/>
            <family val="2"/>
          </rPr>
          <t xml:space="preserve">设备属性里那项，缺省 </t>
        </r>
        <r>
          <rPr>
            <sz val="10"/>
            <rFont val="Arial"/>
            <family val="2"/>
          </rPr>
          <t xml:space="preserve">90</t>
        </r>
      </text>
    </comment>
    <comment ref="E6" authorId="0">
      <text>
        <r>
          <rPr>
            <sz val="10"/>
            <rFont val="Noto Sans CJK SC"/>
            <family val="2"/>
          </rPr>
          <t xml:space="preserve">示例值</t>
        </r>
      </text>
    </comment>
    <comment ref="E7" authorId="0">
      <text>
        <r>
          <rPr>
            <sz val="10"/>
            <rFont val="Noto Sans CJK SC"/>
            <family val="2"/>
          </rPr>
          <t xml:space="preserve">参数窗「超温上限」，温控器自己那道最后防线</t>
        </r>
      </text>
    </comment>
    <comment ref="M14" authorId="0">
      <text>
        <r>
          <rPr>
            <sz val="10"/>
            <rFont val="Noto Sans CJK SC"/>
            <family val="2"/>
          </rPr>
          <t xml:space="preserve">负的按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算：没到目标就没有过冲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Noto Sans CJK SC"/>
            <family val="2"/>
          </rPr>
          <t xml:space="preserve">示例值</t>
        </r>
      </text>
    </comment>
    <comment ref="B6" authorId="0">
      <text>
        <r>
          <rPr>
            <sz val="10"/>
            <rFont val="Noto Sans CJK SC"/>
            <family val="2"/>
          </rPr>
          <t xml:space="preserve">下发那一刻的夹套温度</t>
        </r>
      </text>
    </comment>
    <comment ref="E5" authorId="0">
      <text>
        <r>
          <rPr>
            <sz val="10"/>
            <rFont val="Noto Sans CJK SC"/>
            <family val="2"/>
          </rPr>
          <t xml:space="preserve">面板「按速率」填的数</t>
        </r>
      </text>
    </comment>
    <comment ref="M12" authorId="0">
      <text>
        <r>
          <rPr>
            <sz val="10"/>
            <rFont val="Arial"/>
            <family val="2"/>
          </rPr>
          <t xml:space="preserve">|B </t>
        </r>
        <r>
          <rPr>
            <sz val="10"/>
            <rFont val="Noto Sans CJK SC"/>
            <family val="2"/>
          </rPr>
          <t xml:space="preserve">起始 − 目标</t>
        </r>
        <r>
          <rPr>
            <sz val="10"/>
            <rFont val="Arial"/>
            <family val="2"/>
          </rPr>
          <t xml:space="preserve">| ÷ </t>
        </r>
        <r>
          <rPr>
            <sz val="10"/>
            <rFont val="Noto Sans CJK SC"/>
            <family val="2"/>
          </rPr>
          <t xml:space="preserve">速率（</t>
        </r>
        <r>
          <rPr>
            <sz val="10"/>
            <rFont val="Arial"/>
            <family val="2"/>
          </rPr>
          <t xml:space="preserve">B5 </t>
        </r>
        <r>
          <rPr>
            <sz val="10"/>
            <rFont val="Noto Sans CJK SC"/>
            <family val="2"/>
          </rPr>
          <t xml:space="preserve">目标、</t>
        </r>
        <r>
          <rPr>
            <sz val="10"/>
            <rFont val="Arial"/>
            <family val="2"/>
          </rPr>
          <t xml:space="preserve">E5 </t>
        </r>
        <r>
          <rPr>
            <sz val="10"/>
            <rFont val="Noto Sans CJK SC"/>
            <family val="2"/>
          </rPr>
          <t xml:space="preserve">速率、</t>
        </r>
        <r>
          <rPr>
            <sz val="10"/>
            <rFont val="Arial"/>
            <family val="2"/>
          </rPr>
          <t xml:space="preserve">E6 B </t>
        </r>
        <r>
          <rPr>
            <sz val="10"/>
            <rFont val="Noto Sans CJK SC"/>
            <family val="2"/>
          </rPr>
          <t xml:space="preserve">起始）</t>
        </r>
      </text>
    </comment>
    <comment ref="M13" authorId="0">
      <text>
        <r>
          <rPr>
            <sz val="10"/>
            <rFont val="Noto Sans CJK SC"/>
            <family val="2"/>
          </rPr>
          <t xml:space="preserve">夹套实测 − 内部设定值，绝对值最大的那个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Noto Sans CJK SC"/>
            <family val="2"/>
          </rPr>
          <t xml:space="preserve">示例值</t>
        </r>
      </text>
    </comment>
    <comment ref="B6" authorId="0">
      <text>
        <r>
          <rPr>
            <sz val="10"/>
            <rFont val="Noto Sans CJK SC"/>
            <family val="2"/>
          </rPr>
          <t xml:space="preserve">设备属性「热源切换死区」，缺省 </t>
        </r>
        <r>
          <rPr>
            <sz val="10"/>
            <rFont val="Arial"/>
            <family val="2"/>
          </rPr>
          <t xml:space="preserve">2</t>
        </r>
      </text>
    </comment>
    <comment ref="J23" authorId="0">
      <text>
        <r>
          <rPr>
            <sz val="10"/>
            <rFont val="Noto Sans CJK SC"/>
            <family val="2"/>
          </rPr>
          <t xml:space="preserve">恒温期间正常应该是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；有数就是在抖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Noto Sans CJK SC"/>
            <family val="2"/>
          </rPr>
          <t xml:space="preserve">设备属性「回切滞回」，缺省 </t>
        </r>
        <r>
          <rPr>
            <sz val="10"/>
            <rFont val="Arial"/>
            <family val="2"/>
          </rPr>
          <t xml:space="preserve">5</t>
        </r>
      </text>
    </comment>
  </commentList>
</comments>
</file>

<file path=xl/sharedStrings.xml><?xml version="1.0" encoding="utf-8"?>
<sst xmlns="http://schemas.openxmlformats.org/spreadsheetml/2006/main" count="235" uniqueCount="165">
  <si>
    <t xml:space="preserve">控温极限测试记录</t>
  </si>
  <si>
    <r>
      <rPr>
        <i val="true"/>
        <sz val="9"/>
        <color rgb="FF666666"/>
        <rFont val="Noto Sans CJK SC"/>
        <family val="2"/>
      </rPr>
      <t xml:space="preserve">双工位反应主机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现场自己填，汇总表自动算</t>
    </r>
  </si>
  <si>
    <t xml:space="preserve">怎么看颜色</t>
  </si>
  <si>
    <t xml:space="preserve">  黄底蓝字：你填的数。</t>
  </si>
  <si>
    <t xml:space="preserve">  黑字浅蓝底：公式自动算的，别手改。</t>
  </si>
  <si>
    <t xml:space="preserve">  淡黄底那一行：示例值，只是告诉你格式，填自己的数直接覆盖。</t>
  </si>
  <si>
    <t xml:space="preserve">怎么填</t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</si>
  <si>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每张表先填顶上的「测试条件」（日期、目标、到达方式、环境温度……）。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</si>
  <si>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按时间点抄参数窗「实时状态」里的数：夹套温度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输出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电流。输出填窗里显示的百分数本身（显示 </t>
    </r>
    <r>
      <rPr>
        <sz val="10"/>
        <rFont val="Arial"/>
        <family val="0"/>
        <charset val="1"/>
      </rPr>
      <t xml:space="preserve">90.0 % </t>
    </r>
    <r>
      <rPr>
        <sz val="10"/>
        <rFont val="Noto Sans CJK SC"/>
        <family val="2"/>
      </rPr>
      <t xml:space="preserve">就填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</si>
  <si>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  3. </t>
    </r>
    <r>
      <rPr>
        <sz val="10"/>
        <rFont val="Noto Sans CJK SC"/>
        <family val="2"/>
      </rPr>
      <t xml:space="preserve">时间列已按 </t>
    </r>
    <r>
      <rPr>
        <sz val="10"/>
        <rFont val="Arial"/>
        <family val="0"/>
        <charset val="1"/>
      </rPr>
      <t xml:space="preserve">1 min</t>
    </r>
    <r>
      <rPr>
        <sz val="10"/>
        <rFont val="Noto Sans CJK SC"/>
        <family val="2"/>
      </rPr>
      <t xml:space="preserve">（恒温表 </t>
    </r>
    <r>
      <rPr>
        <sz val="10"/>
        <rFont val="Arial"/>
        <family val="0"/>
        <charset val="1"/>
      </rPr>
      <t xml:space="preserve">2 min</t>
    </r>
    <r>
      <rPr>
        <sz val="10"/>
        <rFont val="Noto Sans CJK SC"/>
        <family val="2"/>
      </rPr>
      <t xml:space="preserve">）预填，间隔改了就改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列的数，公式按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列实际值算。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</si>
  <si>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「换向与死区」是事件记录：每一次下发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换挡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停控记一行，</t>
    </r>
    <r>
      <rPr>
        <sz val="10"/>
        <rFont val="Arial"/>
        <family val="0"/>
        <charset val="1"/>
      </rPr>
      <t xml:space="preserve">IO8R </t>
    </r>
    <r>
      <rPr>
        <sz val="10"/>
        <rFont val="Noto Sans CJK SC"/>
        <family val="2"/>
      </rPr>
      <t xml:space="preserve">四只继电器的位置照灯抄（合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断）。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</si>
  <si>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「结果汇总」不用填，全是从各表拉过来的；最后连这张一起发回来。</t>
    </r>
  </si>
  <si>
    <t xml:space="preserve">数据来源</t>
  </si>
  <si>
    <r>
      <rPr>
        <sz val="10"/>
        <rFont val="Noto Sans CJK SC"/>
        <family val="2"/>
      </rPr>
      <t xml:space="preserve">  参数窗（顶栏机器图标）「实时状态」组：工位 </t>
    </r>
    <r>
      <rPr>
        <sz val="10"/>
        <rFont val="Arial"/>
        <family val="0"/>
        <charset val="1"/>
      </rPr>
      <t xml:space="preserve">A/B </t>
    </r>
    <r>
      <rPr>
        <sz val="10"/>
        <rFont val="Noto Sans CJK SC"/>
        <family val="2"/>
      </rPr>
      <t xml:space="preserve">夹套温度、目标、输出、电流、变温斜率。</t>
    </r>
  </si>
  <si>
    <r>
      <rPr>
        <sz val="10"/>
        <rFont val="Arial"/>
        <family val="0"/>
        <charset val="1"/>
      </rPr>
      <t xml:space="preserve">  IO8R </t>
    </r>
    <r>
      <rPr>
        <sz val="10"/>
        <rFont val="Noto Sans CJK SC"/>
        <family val="2"/>
      </rPr>
      <t xml:space="preserve">模块面板灯：第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= DO6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TEC </t>
    </r>
    <r>
      <rPr>
        <sz val="10"/>
        <rFont val="Noto Sans CJK SC"/>
        <family val="2"/>
      </rPr>
      <t xml:space="preserve">功率线），第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= DO7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TEC </t>
    </r>
    <r>
      <rPr>
        <sz val="10"/>
        <rFont val="Noto Sans CJK SC"/>
        <family val="2"/>
      </rPr>
      <t xml:space="preserve">功率线），第 </t>
    </r>
    <r>
      <rPr>
        <sz val="10"/>
        <rFont val="Arial"/>
        <family val="0"/>
        <charset val="1"/>
      </rPr>
      <t xml:space="preserve">1/2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= DO0/DO1</t>
    </r>
    <r>
      <rPr>
        <sz val="10"/>
        <rFont val="Noto Sans CJK SC"/>
        <family val="2"/>
      </rPr>
      <t xml:space="preserve">（加热棒）。</t>
    </r>
  </si>
  <si>
    <t xml:space="preserve">  手动面板曲线页可以对照走势；系统页能导出面板日志，一起发。</t>
  </si>
  <si>
    <t xml:space="preserve">对应清单</t>
  </si>
  <si>
    <r>
      <rPr>
        <sz val="10"/>
        <rFont val="Arial"/>
        <family val="0"/>
        <charset val="1"/>
      </rPr>
      <t xml:space="preserve">  docs/</t>
    </r>
    <r>
      <rPr>
        <sz val="10"/>
        <rFont val="Noto Sans CJK SC"/>
        <family val="2"/>
      </rPr>
      <t xml:space="preserve">极限测试清单</t>
    </r>
    <r>
      <rPr>
        <sz val="10"/>
        <rFont val="Arial"/>
        <family val="0"/>
        <charset val="1"/>
      </rPr>
      <t xml:space="preserve">.md </t>
    </r>
    <r>
      <rPr>
        <sz val="10"/>
        <rFont val="Noto Sans CJK SC"/>
        <family val="2"/>
      </rPr>
      <t xml:space="preserve">第三块「控温极限」⑯–⑳，以及第二块的 ⑨ ⑲。</t>
    </r>
  </si>
  <si>
    <t xml:space="preserve">图例</t>
  </si>
  <si>
    <r>
      <rPr>
        <sz val="10"/>
        <color rgb="FF0000FF"/>
        <rFont val="Noto Sans CJK SC"/>
        <family val="2"/>
      </rPr>
      <t xml:space="preserve">黄底蓝字 </t>
    </r>
    <r>
      <rPr>
        <sz val="10"/>
        <color rgb="FF0000FF"/>
        <rFont val="Arial"/>
        <family val="0"/>
        <charset val="1"/>
      </rPr>
      <t xml:space="preserve">= </t>
    </r>
    <r>
      <rPr>
        <sz val="10"/>
        <color rgb="FF0000FF"/>
        <rFont val="Noto Sans CJK SC"/>
        <family val="2"/>
      </rPr>
      <t xml:space="preserve">你填</t>
    </r>
  </si>
  <si>
    <r>
      <rPr>
        <sz val="10"/>
        <rFont val="Noto Sans CJK SC"/>
        <family val="2"/>
      </rPr>
      <t xml:space="preserve">黑字浅蓝底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公式</t>
    </r>
  </si>
  <si>
    <r>
      <rPr>
        <sz val="10"/>
        <rFont val="Noto Sans CJK SC"/>
        <family val="2"/>
      </rPr>
      <t xml:space="preserve">淡黄底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示例行</t>
    </r>
  </si>
  <si>
    <t xml:space="preserve">最低温</t>
  </si>
  <si>
    <t xml:space="preserve">清单 ⑯：两工位同时「尽快」降到超温下限附近，看能到多低、多快、电流多大、两路同时满载电源顶不顶得住</t>
  </si>
  <si>
    <t xml:space="preserve">日期</t>
  </si>
  <si>
    <t xml:space="preserve">操作人</t>
  </si>
  <si>
    <t xml:space="preserve">环境温度 ℃</t>
  </si>
  <si>
    <t xml:space="preserve">冷却水温度 ℃</t>
  </si>
  <si>
    <r>
      <rPr>
        <sz val="10"/>
        <rFont val="Noto Sans CJK SC"/>
        <family val="2"/>
      </rPr>
      <t xml:space="preserve">工位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目标 ℃</t>
    </r>
  </si>
  <si>
    <r>
      <rPr>
        <sz val="10"/>
        <rFont val="Noto Sans CJK SC"/>
        <family val="2"/>
      </rPr>
      <t xml:space="preserve">工位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目标 ℃</t>
    </r>
  </si>
  <si>
    <t xml:space="preserve">到达方式</t>
  </si>
  <si>
    <t xml:space="preserve">尽快</t>
  </si>
  <si>
    <r>
      <rPr>
        <sz val="10"/>
        <rFont val="Arial"/>
        <family val="0"/>
        <charset val="1"/>
      </rPr>
      <t xml:space="preserve">LIMITED </t>
    </r>
    <r>
      <rPr>
        <sz val="10"/>
        <rFont val="Noto Sans CJK SC"/>
        <family val="2"/>
      </rPr>
      <t xml:space="preserve">最大功率 </t>
    </r>
    <r>
      <rPr>
        <sz val="10"/>
        <rFont val="Arial"/>
        <family val="0"/>
        <charset val="1"/>
      </rPr>
      <t xml:space="preserve">%</t>
    </r>
  </si>
  <si>
    <t xml:space="preserve">补丁版本</t>
  </si>
  <si>
    <t xml:space="preserve">0321</t>
  </si>
  <si>
    <t xml:space="preserve">备注</t>
  </si>
  <si>
    <r>
      <rPr>
        <b val="true"/>
        <sz val="10"/>
        <color rgb="FFFFFFFF"/>
        <rFont val="Noto Sans CJK SC"/>
        <family val="2"/>
      </rPr>
      <t xml:space="preserve">时间 </t>
    </r>
    <r>
      <rPr>
        <b val="true"/>
        <sz val="10"/>
        <color rgb="FFFFFFFF"/>
        <rFont val="Arial"/>
        <family val="0"/>
        <charset val="1"/>
      </rPr>
      <t xml:space="preserve">min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</si>
  <si>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夹套 ℃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</si>
  <si>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输出 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</si>
  <si>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电流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</si>
  <si>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夹套 ℃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</si>
  <si>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输出 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</si>
  <si>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电流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</si>
  <si>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到达</t>
    </r>
    <r>
      <rPr>
        <b val="true"/>
        <sz val="10"/>
        <color rgb="FFFFFFFF"/>
        <rFont val="Arial"/>
        <family val="0"/>
        <charset val="1"/>
      </rPr>
      <t xml:space="preserve">?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</si>
  <si>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到达</t>
    </r>
    <r>
      <rPr>
        <b val="true"/>
        <sz val="10"/>
        <color rgb="FFFFFFFF"/>
        <rFont val="Arial"/>
        <family val="0"/>
        <charset val="1"/>
      </rPr>
      <t xml:space="preserve">?</t>
    </r>
  </si>
  <si>
    <t xml:space="preserve">汇总（自动算）</t>
  </si>
  <si>
    <t xml:space="preserve">值</t>
  </si>
  <si>
    <t xml:space="preserve">示例值，覆盖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</si>
  <si>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最低温 ℃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</si>
  <si>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到达用时 </t>
    </r>
    <r>
      <rPr>
        <sz val="10"/>
        <rFont val="Arial"/>
        <family val="0"/>
        <charset val="1"/>
      </rPr>
      <t xml:space="preserve">min</t>
    </r>
    <r>
      <rPr>
        <sz val="10"/>
        <rFont val="Noto Sans CJK SC"/>
        <family val="2"/>
      </rPr>
      <t xml:space="preserve">（首次 ≤ 目标</t>
    </r>
    <r>
      <rPr>
        <sz val="10"/>
        <rFont val="Arial"/>
        <family val="0"/>
        <charset val="1"/>
      </rPr>
      <t xml:space="preserve">+0.5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</si>
  <si>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最低温与目标差 ℃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</si>
  <si>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10 min </t>
    </r>
    <r>
      <rPr>
        <sz val="10"/>
        <rFont val="Noto Sans CJK SC"/>
        <family val="2"/>
      </rPr>
      <t xml:space="preserve">平均降温速率 ℃</t>
    </r>
    <r>
      <rPr>
        <sz val="10"/>
        <rFont val="Arial"/>
        <family val="0"/>
        <charset val="1"/>
      </rPr>
      <t xml:space="preserve">/min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</si>
  <si>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输出平均 </t>
    </r>
    <r>
      <rPr>
        <sz val="10"/>
        <rFont val="Arial"/>
        <family val="0"/>
        <charset val="1"/>
      </rPr>
      <t xml:space="preserve">%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</si>
  <si>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电流最大 </t>
    </r>
    <r>
      <rPr>
        <sz val="10"/>
        <rFont val="Arial"/>
        <family val="0"/>
        <charset val="1"/>
      </rPr>
      <t xml:space="preserve">A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</si>
  <si>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最低温 ℃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</si>
  <si>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到达用时 </t>
    </r>
    <r>
      <rPr>
        <sz val="10"/>
        <rFont val="Arial"/>
        <family val="0"/>
        <charset val="1"/>
      </rPr>
      <t xml:space="preserve">min</t>
    </r>
    <r>
      <rPr>
        <sz val="10"/>
        <rFont val="Noto Sans CJK SC"/>
        <family val="2"/>
      </rPr>
      <t xml:space="preserve">（首次 ≤ 目标</t>
    </r>
    <r>
      <rPr>
        <sz val="10"/>
        <rFont val="Arial"/>
        <family val="0"/>
        <charset val="1"/>
      </rPr>
      <t xml:space="preserve">+0.5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</si>
  <si>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最低温与目标差 ℃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</si>
  <si>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10 min </t>
    </r>
    <r>
      <rPr>
        <sz val="10"/>
        <rFont val="Noto Sans CJK SC"/>
        <family val="2"/>
      </rPr>
      <t xml:space="preserve">平均降温速率 ℃</t>
    </r>
    <r>
      <rPr>
        <sz val="10"/>
        <rFont val="Arial"/>
        <family val="0"/>
        <charset val="1"/>
      </rPr>
      <t xml:space="preserve">/min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</si>
  <si>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输出平均 </t>
    </r>
    <r>
      <rPr>
        <sz val="10"/>
        <rFont val="Arial"/>
        <family val="0"/>
        <charset val="1"/>
      </rPr>
      <t xml:space="preserve">%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</si>
  <si>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电流最大 </t>
    </r>
    <r>
      <rPr>
        <sz val="10"/>
        <rFont val="Arial"/>
        <family val="0"/>
        <charset val="1"/>
      </rPr>
      <t xml:space="preserve">A</t>
    </r>
  </si>
  <si>
    <t xml:space="preserve">最高温</t>
  </si>
  <si>
    <t xml:space="preserve">清单 ⑰：「尽快」升到超温上限附近（电加热段），看切电加热顺不顺、到温过冲多少</t>
  </si>
  <si>
    <t xml:space="preserve">电加热切换阈值 ℃</t>
  </si>
  <si>
    <t xml:space="preserve">超温上限 ℃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</si>
  <si>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切到电加热的时刻 </t>
    </r>
    <r>
      <rPr>
        <sz val="10"/>
        <rFont val="Arial"/>
        <family val="0"/>
        <charset val="1"/>
      </rPr>
      <t xml:space="preserve">min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</si>
  <si>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切到电加热的时刻 </t>
    </r>
    <r>
      <rPr>
        <sz val="10"/>
        <rFont val="Arial"/>
        <family val="0"/>
        <charset val="1"/>
      </rPr>
      <t xml:space="preserve">min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</si>
  <si>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最高温 ℃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</si>
  <si>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到达用时 </t>
    </r>
    <r>
      <rPr>
        <sz val="10"/>
        <rFont val="Arial"/>
        <family val="0"/>
        <charset val="1"/>
      </rPr>
      <t xml:space="preserve">min</t>
    </r>
    <r>
      <rPr>
        <sz val="10"/>
        <rFont val="Noto Sans CJK SC"/>
        <family val="2"/>
      </rPr>
      <t xml:space="preserve">（首次 ≥ 目标−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</si>
  <si>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过冲 ℃（最高温−目标）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</si>
  <si>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10 min </t>
    </r>
    <r>
      <rPr>
        <sz val="10"/>
        <rFont val="Noto Sans CJK SC"/>
        <family val="2"/>
      </rPr>
      <t xml:space="preserve">平均升温速率 ℃</t>
    </r>
    <r>
      <rPr>
        <sz val="10"/>
        <rFont val="Arial"/>
        <family val="0"/>
        <charset val="1"/>
      </rPr>
      <t xml:space="preserve">/min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</si>
  <si>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最高温 ℃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</si>
  <si>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到达用时 </t>
    </r>
    <r>
      <rPr>
        <sz val="10"/>
        <rFont val="Arial"/>
        <family val="0"/>
        <charset val="1"/>
      </rPr>
      <t xml:space="preserve">min</t>
    </r>
    <r>
      <rPr>
        <sz val="10"/>
        <rFont val="Noto Sans CJK SC"/>
        <family val="2"/>
      </rPr>
      <t xml:space="preserve">（首次 ≥ 目标−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</si>
  <si>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过冲 ℃（最高温−目标）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</si>
  <si>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10 min </t>
    </r>
    <r>
      <rPr>
        <sz val="10"/>
        <rFont val="Noto Sans CJK SC"/>
        <family val="2"/>
      </rPr>
      <t xml:space="preserve">平均升温速率 ℃</t>
    </r>
    <r>
      <rPr>
        <sz val="10"/>
        <rFont val="Arial"/>
        <family val="0"/>
        <charset val="1"/>
      </rPr>
      <t xml:space="preserve">/min</t>
    </r>
  </si>
  <si>
    <r>
      <rPr>
        <b val="true"/>
        <sz val="14"/>
        <rFont val="Noto Sans CJK SC"/>
        <family val="2"/>
      </rPr>
      <t xml:space="preserve">尽快</t>
    </r>
    <r>
      <rPr>
        <b val="true"/>
        <sz val="14"/>
        <rFont val="Arial"/>
        <family val="0"/>
        <charset val="1"/>
      </rPr>
      <t xml:space="preserve">vs</t>
    </r>
    <r>
      <rPr>
        <b val="true"/>
        <sz val="14"/>
        <rFont val="Noto Sans CJK SC"/>
        <family val="2"/>
      </rPr>
      <t xml:space="preserve">按速率</t>
    </r>
  </si>
  <si>
    <r>
      <rPr>
        <i val="true"/>
        <sz val="9"/>
        <color rgb="FF666666"/>
        <rFont val="Noto Sans CJK SC"/>
        <family val="2"/>
      </rPr>
      <t xml:space="preserve">清单 ⑱：</t>
    </r>
    <r>
      <rPr>
        <i val="true"/>
        <sz val="9"/>
        <color rgb="FF666666"/>
        <rFont val="Arial"/>
        <family val="0"/>
        <charset val="1"/>
      </rPr>
      <t xml:space="preserve">A </t>
    </r>
    <r>
      <rPr>
        <i val="true"/>
        <sz val="9"/>
        <color rgb="FF666666"/>
        <rFont val="Noto Sans CJK SC"/>
        <family val="2"/>
      </rPr>
      <t xml:space="preserve">尽快、</t>
    </r>
    <r>
      <rPr>
        <i val="true"/>
        <sz val="9"/>
        <color rgb="FF666666"/>
        <rFont val="Arial"/>
        <family val="0"/>
        <charset val="1"/>
      </rPr>
      <t xml:space="preserve">B </t>
    </r>
    <r>
      <rPr>
        <i val="true"/>
        <sz val="9"/>
        <color rgb="FF666666"/>
        <rFont val="Noto Sans CJK SC"/>
        <family val="2"/>
      </rPr>
      <t xml:space="preserve">按速率，同一目标同时下发；两路曲线形状不同是对的，看 </t>
    </r>
    <r>
      <rPr>
        <i val="true"/>
        <sz val="9"/>
        <color rgb="FF666666"/>
        <rFont val="Arial"/>
        <family val="0"/>
        <charset val="1"/>
      </rPr>
      <t xml:space="preserve">B </t>
    </r>
    <r>
      <rPr>
        <i val="true"/>
        <sz val="9"/>
        <color rgb="FF666666"/>
        <rFont val="Noto Sans CJK SC"/>
        <family val="2"/>
      </rPr>
      <t xml:space="preserve">跟不跟得上它的内部设定值</t>
    </r>
  </si>
  <si>
    <t xml:space="preserve">目标 ℃（两路同一个）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</si>
  <si>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的速率 ℃</t>
    </r>
    <r>
      <rPr>
        <sz val="10"/>
        <rFont val="Arial"/>
        <family val="0"/>
        <charset val="1"/>
      </rPr>
      <t xml:space="preserve">/min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</si>
  <si>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起始夹套 ℃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</si>
  <si>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起始夹套 ℃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</si>
  <si>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内部设定值 ℃（算）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</si>
  <si>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跟踪偏差 ℃（算）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</si>
  <si>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到达用时 </t>
    </r>
    <r>
      <rPr>
        <sz val="10"/>
        <rFont val="Arial"/>
        <family val="0"/>
        <charset val="1"/>
      </rPr>
      <t xml:space="preserve">min</t>
    </r>
    <r>
      <rPr>
        <sz val="10"/>
        <rFont val="Noto Sans CJK SC"/>
        <family val="2"/>
      </rPr>
      <t xml:space="preserve">（首次到目标 </t>
    </r>
    <r>
      <rPr>
        <sz val="10"/>
        <rFont val="Arial"/>
        <family val="0"/>
        <charset val="1"/>
      </rPr>
      <t xml:space="preserve">±0.5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</si>
  <si>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到达用时 </t>
    </r>
    <r>
      <rPr>
        <sz val="10"/>
        <rFont val="Arial"/>
        <family val="0"/>
        <charset val="1"/>
      </rPr>
      <t xml:space="preserve">min</t>
    </r>
    <r>
      <rPr>
        <sz val="10"/>
        <rFont val="Noto Sans CJK SC"/>
        <family val="2"/>
      </rPr>
      <t xml:space="preserve">（首次到目标 </t>
    </r>
    <r>
      <rPr>
        <sz val="10"/>
        <rFont val="Arial"/>
        <family val="0"/>
        <charset val="1"/>
      </rPr>
      <t xml:space="preserve">±0.5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</si>
  <si>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按速率理论用时 </t>
    </r>
    <r>
      <rPr>
        <sz val="10"/>
        <rFont val="Arial"/>
        <family val="0"/>
        <charset val="1"/>
      </rPr>
      <t xml:space="preserve">min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</si>
  <si>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最大跟踪偏差 ℃</t>
    </r>
  </si>
  <si>
    <t xml:space="preserve">恒温稳定性</t>
  </si>
  <si>
    <r>
      <rPr>
        <i val="true"/>
        <sz val="9"/>
        <color rgb="FF666666"/>
        <rFont val="Noto Sans CJK SC"/>
        <family val="2"/>
      </rPr>
      <t xml:space="preserve">清单 ⑳：在一个温度恒温 </t>
    </r>
    <r>
      <rPr>
        <i val="true"/>
        <sz val="9"/>
        <color rgb="FF666666"/>
        <rFont val="Arial"/>
        <family val="0"/>
        <charset val="1"/>
      </rPr>
      <t xml:space="preserve">2 h</t>
    </r>
    <r>
      <rPr>
        <i val="true"/>
        <sz val="9"/>
        <color rgb="FF666666"/>
        <rFont val="Noto Sans CJK SC"/>
        <family val="2"/>
      </rPr>
      <t xml:space="preserve">，看 </t>
    </r>
    <r>
      <rPr>
        <i val="true"/>
        <sz val="9"/>
        <color rgb="FF666666"/>
        <rFont val="Arial"/>
        <family val="0"/>
        <charset val="1"/>
      </rPr>
      <t xml:space="preserve">Tj / Tr </t>
    </r>
    <r>
      <rPr>
        <i val="true"/>
        <sz val="9"/>
        <color rgb="FF666666"/>
        <rFont val="Noto Sans CJK SC"/>
        <family val="2"/>
      </rPr>
      <t xml:space="preserve">的波动和继电器有没有抖</t>
    </r>
  </si>
  <si>
    <t xml:space="preserve">恒温目标 ℃</t>
  </si>
  <si>
    <r>
      <rPr>
        <sz val="10"/>
        <rFont val="Noto Sans CJK SC"/>
        <family val="2"/>
      </rPr>
      <t xml:space="preserve">热源死区 </t>
    </r>
    <r>
      <rPr>
        <sz val="10"/>
        <rFont val="Arial"/>
        <family val="0"/>
        <charset val="1"/>
      </rPr>
      <t xml:space="preserve">K</t>
    </r>
  </si>
  <si>
    <t xml:space="preserve">A Tj ℃</t>
  </si>
  <si>
    <t xml:space="preserve">A Tr ℃</t>
  </si>
  <si>
    <t xml:space="preserve">B Tj ℃</t>
  </si>
  <si>
    <t xml:space="preserve">B Tr ℃</t>
  </si>
  <si>
    <t xml:space="preserve">继电器动作 次</t>
  </si>
  <si>
    <r>
      <rPr>
        <sz val="10"/>
        <rFont val="Arial"/>
        <family val="0"/>
        <charset val="1"/>
      </rPr>
      <t xml:space="preserve">A Tj </t>
    </r>
    <r>
      <rPr>
        <sz val="10"/>
        <rFont val="Noto Sans CJK SC"/>
        <family val="2"/>
      </rPr>
      <t xml:space="preserve">平均 ℃</t>
    </r>
  </si>
  <si>
    <r>
      <rPr>
        <sz val="10"/>
        <rFont val="Arial"/>
        <family val="0"/>
        <charset val="1"/>
      </rPr>
      <t xml:space="preserve">A Tj </t>
    </r>
    <r>
      <rPr>
        <sz val="10"/>
        <rFont val="Noto Sans CJK SC"/>
        <family val="2"/>
      </rPr>
      <t xml:space="preserve">峰峰值 ℃</t>
    </r>
  </si>
  <si>
    <r>
      <rPr>
        <sz val="10"/>
        <rFont val="Arial"/>
        <family val="0"/>
        <charset val="1"/>
      </rPr>
      <t xml:space="preserve">A Tj </t>
    </r>
    <r>
      <rPr>
        <sz val="10"/>
        <rFont val="Noto Sans CJK SC"/>
        <family val="2"/>
      </rPr>
      <t xml:space="preserve">波动 </t>
    </r>
    <r>
      <rPr>
        <sz val="10"/>
        <rFont val="Arial"/>
        <family val="0"/>
        <charset val="1"/>
      </rPr>
      <t xml:space="preserve">± ℃</t>
    </r>
  </si>
  <si>
    <r>
      <rPr>
        <sz val="10"/>
        <rFont val="Arial"/>
        <family val="0"/>
        <charset val="1"/>
      </rPr>
      <t xml:space="preserve">A Tj </t>
    </r>
    <r>
      <rPr>
        <sz val="10"/>
        <rFont val="Noto Sans CJK SC"/>
        <family val="2"/>
      </rPr>
      <t xml:space="preserve">标准差 ℃</t>
    </r>
  </si>
  <si>
    <r>
      <rPr>
        <sz val="10"/>
        <rFont val="Arial"/>
        <family val="0"/>
        <charset val="1"/>
      </rPr>
      <t xml:space="preserve">A Tr </t>
    </r>
    <r>
      <rPr>
        <sz val="10"/>
        <rFont val="Noto Sans CJK SC"/>
        <family val="2"/>
      </rPr>
      <t xml:space="preserve">峰峰值 ℃</t>
    </r>
  </si>
  <si>
    <r>
      <rPr>
        <sz val="10"/>
        <rFont val="Arial"/>
        <family val="0"/>
        <charset val="1"/>
      </rPr>
      <t xml:space="preserve">A Tr </t>
    </r>
    <r>
      <rPr>
        <sz val="10"/>
        <rFont val="Noto Sans CJK SC"/>
        <family val="2"/>
      </rPr>
      <t xml:space="preserve">平均与目标差 ℃</t>
    </r>
  </si>
  <si>
    <r>
      <rPr>
        <sz val="10"/>
        <rFont val="Arial"/>
        <family val="0"/>
        <charset val="1"/>
      </rPr>
      <t xml:space="preserve">B Tj </t>
    </r>
    <r>
      <rPr>
        <sz val="10"/>
        <rFont val="Noto Sans CJK SC"/>
        <family val="2"/>
      </rPr>
      <t xml:space="preserve">平均 ℃</t>
    </r>
  </si>
  <si>
    <r>
      <rPr>
        <sz val="10"/>
        <rFont val="Arial"/>
        <family val="0"/>
        <charset val="1"/>
      </rPr>
      <t xml:space="preserve">B Tj </t>
    </r>
    <r>
      <rPr>
        <sz val="10"/>
        <rFont val="Noto Sans CJK SC"/>
        <family val="2"/>
      </rPr>
      <t xml:space="preserve">峰峰值 ℃</t>
    </r>
  </si>
  <si>
    <r>
      <rPr>
        <sz val="10"/>
        <rFont val="Arial"/>
        <family val="0"/>
        <charset val="1"/>
      </rPr>
      <t xml:space="preserve">B Tj </t>
    </r>
    <r>
      <rPr>
        <sz val="10"/>
        <rFont val="Noto Sans CJK SC"/>
        <family val="2"/>
      </rPr>
      <t xml:space="preserve">波动 </t>
    </r>
    <r>
      <rPr>
        <sz val="10"/>
        <rFont val="Arial"/>
        <family val="0"/>
        <charset val="1"/>
      </rPr>
      <t xml:space="preserve">± ℃</t>
    </r>
  </si>
  <si>
    <r>
      <rPr>
        <sz val="10"/>
        <rFont val="Arial"/>
        <family val="0"/>
        <charset val="1"/>
      </rPr>
      <t xml:space="preserve">B Tj </t>
    </r>
    <r>
      <rPr>
        <sz val="10"/>
        <rFont val="Noto Sans CJK SC"/>
        <family val="2"/>
      </rPr>
      <t xml:space="preserve">标准差 ℃</t>
    </r>
  </si>
  <si>
    <r>
      <rPr>
        <sz val="10"/>
        <rFont val="Arial"/>
        <family val="0"/>
        <charset val="1"/>
      </rPr>
      <t xml:space="preserve">B Tr </t>
    </r>
    <r>
      <rPr>
        <sz val="10"/>
        <rFont val="Noto Sans CJK SC"/>
        <family val="2"/>
      </rPr>
      <t xml:space="preserve">峰峰值 ℃</t>
    </r>
  </si>
  <si>
    <r>
      <rPr>
        <sz val="10"/>
        <rFont val="Arial"/>
        <family val="0"/>
        <charset val="1"/>
      </rPr>
      <t xml:space="preserve">B Tr </t>
    </r>
    <r>
      <rPr>
        <sz val="10"/>
        <rFont val="Noto Sans CJK SC"/>
        <family val="2"/>
      </rPr>
      <t xml:space="preserve">平均与目标差 ℃</t>
    </r>
  </si>
  <si>
    <t xml:space="preserve">继电器动作总次数</t>
  </si>
  <si>
    <t xml:space="preserve">换向与死区</t>
  </si>
  <si>
    <r>
      <rPr>
        <i val="true"/>
        <sz val="9"/>
        <color rgb="FF666666"/>
        <rFont val="Noto Sans CJK SC"/>
        <family val="2"/>
      </rPr>
      <t xml:space="preserve">清单 ⑨ ⑩ ⑲：每次下发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Noto Sans CJK SC"/>
        <family val="2"/>
      </rPr>
      <t xml:space="preserve">自动换挡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Noto Sans CJK SC"/>
        <family val="2"/>
      </rPr>
      <t xml:space="preserve">停控记一行，四只继电器的位置照 </t>
    </r>
    <r>
      <rPr>
        <i val="true"/>
        <sz val="9"/>
        <color rgb="FF666666"/>
        <rFont val="Arial"/>
        <family val="0"/>
        <charset val="1"/>
      </rPr>
      <t xml:space="preserve">IO8R </t>
    </r>
    <r>
      <rPr>
        <i val="true"/>
        <sz val="9"/>
        <color rgb="FF666666"/>
        <rFont val="Noto Sans CJK SC"/>
        <family val="2"/>
      </rPr>
      <t xml:space="preserve">的灯抄</t>
    </r>
  </si>
  <si>
    <r>
      <rPr>
        <sz val="10"/>
        <rFont val="Noto Sans CJK SC"/>
        <family val="2"/>
      </rPr>
      <t xml:space="preserve">回切滞回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</si>
  <si>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color rgb="FFFFFFFF"/>
        <rFont val="Noto Sans CJK SC"/>
        <family val="2"/>
      </rPr>
      <t xml:space="preserve">时刻 </t>
    </r>
    <r>
      <rPr>
        <b val="true"/>
        <sz val="10"/>
        <color rgb="FFFFFFFF"/>
        <rFont val="Arial"/>
        <family val="0"/>
        <charset val="1"/>
      </rPr>
      <t xml:space="preserve">hh:mm:ss</t>
    </r>
  </si>
  <si>
    <t xml:space="preserve">工位</t>
  </si>
  <si>
    <t xml:space="preserve">动作</t>
  </si>
  <si>
    <t xml:space="preserve">目标 ℃</t>
  </si>
  <si>
    <t xml:space="preserve">夹套 ℃</t>
  </si>
  <si>
    <t xml:space="preserve">DO6 A·TEC</t>
  </si>
  <si>
    <t xml:space="preserve">DO7 B·TEC</t>
  </si>
  <si>
    <r>
      <rPr>
        <b val="true"/>
        <sz val="10"/>
        <color rgb="FFFFFFFF"/>
        <rFont val="Arial"/>
        <family val="0"/>
        <charset val="1"/>
      </rPr>
      <t xml:space="preserve">DO0 A·</t>
    </r>
    <r>
      <rPr>
        <b val="true"/>
        <sz val="10"/>
        <color rgb="FFFFFFFF"/>
        <rFont val="Noto Sans CJK SC"/>
        <family val="2"/>
      </rPr>
      <t xml:space="preserve">加热棒</t>
    </r>
  </si>
  <si>
    <r>
      <rPr>
        <b val="true"/>
        <sz val="10"/>
        <color rgb="FFFFFFFF"/>
        <rFont val="Arial"/>
        <family val="0"/>
        <charset val="1"/>
      </rPr>
      <t xml:space="preserve">DO1 B·</t>
    </r>
    <r>
      <rPr>
        <b val="true"/>
        <sz val="10"/>
        <color rgb="FFFFFFFF"/>
        <rFont val="Noto Sans CJK SC"/>
        <family val="2"/>
      </rPr>
      <t xml:space="preserve">加热棒</t>
    </r>
  </si>
  <si>
    <t xml:space="preserve">检查（算）</t>
  </si>
  <si>
    <t xml:space="preserve">10:03:15</t>
  </si>
  <si>
    <t xml:space="preserve">A</t>
  </si>
  <si>
    <t xml:space="preserve">下发目标</t>
  </si>
  <si>
    <t xml:space="preserve">合</t>
  </si>
  <si>
    <t xml:space="preserve">断</t>
  </si>
  <si>
    <t xml:space="preserve">示例行，覆盖</t>
  </si>
  <si>
    <r>
      <rPr>
        <i val="true"/>
        <sz val="9"/>
        <color rgb="FF666666"/>
        <rFont val="Noto Sans CJK SC"/>
        <family val="2"/>
      </rPr>
      <t xml:space="preserve">「检查」列自动算：同一工位加热棒和 </t>
    </r>
    <r>
      <rPr>
        <i val="true"/>
        <sz val="9"/>
        <color rgb="FF666666"/>
        <rFont val="Arial"/>
        <family val="0"/>
        <charset val="1"/>
      </rPr>
      <t xml:space="preserve">TEC </t>
    </r>
    <r>
      <rPr>
        <i val="true"/>
        <sz val="9"/>
        <color rgb="FF666666"/>
        <rFont val="Noto Sans CJK SC"/>
        <family val="2"/>
      </rPr>
      <t xml:space="preserve">功率线两只同时合是硬性禁止的，出现就截图发我。</t>
    </r>
  </si>
  <si>
    <r>
      <rPr>
        <i val="true"/>
        <sz val="9"/>
        <color rgb="FF666666"/>
        <rFont val="Noto Sans CJK SC"/>
        <family val="2"/>
      </rPr>
      <t xml:space="preserve">自动换挡等 </t>
    </r>
    <r>
      <rPr>
        <i val="true"/>
        <sz val="9"/>
        <color rgb="FF666666"/>
        <rFont val="Arial"/>
        <family val="0"/>
        <charset val="1"/>
      </rPr>
      <t xml:space="preserve">30 s </t>
    </r>
    <r>
      <rPr>
        <i val="true"/>
        <sz val="9"/>
        <color rgb="FF666666"/>
        <rFont val="Noto Sans CJK SC"/>
        <family val="2"/>
      </rPr>
      <t xml:space="preserve">最短间隔、回切要等夹套凉到阈值−滞回：时刻列记准，事后能算间隔。</t>
    </r>
  </si>
  <si>
    <t xml:space="preserve">结果汇总</t>
  </si>
  <si>
    <t xml:space="preserve">不用填，全从各表拉过来；最后连这张一起发</t>
  </si>
  <si>
    <t xml:space="preserve">项目</t>
  </si>
  <si>
    <r>
      <rPr>
        <b val="true"/>
        <sz val="10"/>
        <color rgb="FFFFFFFF"/>
        <rFont val="Noto Sans CJK SC"/>
        <family val="2"/>
      </rPr>
      <t xml:space="preserve">工位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</si>
  <si>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工位 </t>
    </r>
    <r>
      <rPr>
        <b val="true"/>
        <sz val="10"/>
        <color rgb="FFFFFFFF"/>
        <rFont val="Arial"/>
        <family val="0"/>
        <charset val="1"/>
      </rPr>
      <t xml:space="preserve">B</t>
    </r>
  </si>
  <si>
    <t xml:space="preserve">说明</t>
  </si>
  <si>
    <t xml:space="preserve">最低温 ℃</t>
  </si>
  <si>
    <t xml:space="preserve">清单 ⑯</t>
  </si>
  <si>
    <r>
      <rPr>
        <sz val="10"/>
        <rFont val="Noto Sans CJK SC"/>
        <family val="2"/>
      </rPr>
      <t xml:space="preserve">最低温到达用时 </t>
    </r>
    <r>
      <rPr>
        <sz val="10"/>
        <rFont val="Arial"/>
        <family val="0"/>
        <charset val="1"/>
      </rPr>
      <t xml:space="preserve">min</t>
    </r>
  </si>
  <si>
    <r>
      <rPr>
        <i val="true"/>
        <sz val="9"/>
        <color rgb="FF666666"/>
        <rFont val="Noto Sans CJK SC"/>
        <family val="2"/>
      </rPr>
      <t xml:space="preserve">首次 ≤ 目标 </t>
    </r>
    <r>
      <rPr>
        <i val="true"/>
        <sz val="9"/>
        <color rgb="FF666666"/>
        <rFont val="Arial"/>
        <family val="0"/>
        <charset val="1"/>
      </rPr>
      <t xml:space="preserve">+ 0.5</t>
    </r>
  </si>
  <si>
    <t xml:space="preserve">最低温与目标差 ℃</t>
  </si>
  <si>
    <r>
      <rPr>
        <i val="true"/>
        <sz val="9"/>
        <color rgb="FF666666"/>
        <rFont val="Noto Sans CJK SC"/>
        <family val="2"/>
      </rPr>
      <t xml:space="preserve">负的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比目标还低</t>
    </r>
  </si>
  <si>
    <r>
      <rPr>
        <sz val="10"/>
        <rFont val="Noto Sans CJK SC"/>
        <family val="2"/>
      </rPr>
      <t xml:space="preserve">降温速率（前 </t>
    </r>
    <r>
      <rPr>
        <sz val="10"/>
        <rFont val="Arial"/>
        <family val="0"/>
        <charset val="1"/>
      </rPr>
      <t xml:space="preserve">10 min</t>
    </r>
    <r>
      <rPr>
        <sz val="10"/>
        <rFont val="Noto Sans CJK SC"/>
        <family val="2"/>
      </rPr>
      <t xml:space="preserve">）℃</t>
    </r>
    <r>
      <rPr>
        <sz val="10"/>
        <rFont val="Arial"/>
        <family val="0"/>
        <charset val="1"/>
      </rPr>
      <t xml:space="preserve">/min</t>
    </r>
  </si>
  <si>
    <r>
      <rPr>
        <sz val="10"/>
        <rFont val="Noto Sans CJK SC"/>
        <family val="2"/>
      </rPr>
      <t xml:space="preserve">降温时电流最大 </t>
    </r>
    <r>
      <rPr>
        <sz val="10"/>
        <rFont val="Arial"/>
        <family val="0"/>
        <charset val="1"/>
      </rPr>
      <t xml:space="preserve">A</t>
    </r>
  </si>
  <si>
    <r>
      <rPr>
        <i val="true"/>
        <sz val="9"/>
        <color rgb="FF666666"/>
        <rFont val="Noto Sans CJK SC"/>
        <family val="2"/>
      </rPr>
      <t xml:space="preserve">几十毫安 </t>
    </r>
    <r>
      <rPr>
        <i val="true"/>
        <sz val="9"/>
        <color rgb="FF666666"/>
        <rFont val="Arial"/>
        <family val="0"/>
        <charset val="1"/>
      </rPr>
      <t xml:space="preserve">= TEC </t>
    </r>
    <r>
      <rPr>
        <i val="true"/>
        <sz val="9"/>
        <color rgb="FF666666"/>
        <rFont val="Noto Sans CJK SC"/>
        <family val="2"/>
      </rPr>
      <t xml:space="preserve">没吃到电</t>
    </r>
  </si>
  <si>
    <t xml:space="preserve">最高温 ℃</t>
  </si>
  <si>
    <t xml:space="preserve">清单 ⑰</t>
  </si>
  <si>
    <r>
      <rPr>
        <sz val="10"/>
        <rFont val="Noto Sans CJK SC"/>
        <family val="2"/>
      </rPr>
      <t xml:space="preserve">最高温到达用时 </t>
    </r>
    <r>
      <rPr>
        <sz val="10"/>
        <rFont val="Arial"/>
        <family val="0"/>
        <charset val="1"/>
      </rPr>
      <t xml:space="preserve">min</t>
    </r>
  </si>
  <si>
    <t xml:space="preserve">最高温过冲 ℃</t>
  </si>
  <si>
    <t xml:space="preserve">别顶到超温上限</t>
  </si>
  <si>
    <r>
      <rPr>
        <sz val="10"/>
        <rFont val="Noto Sans CJK SC"/>
        <family val="2"/>
      </rPr>
      <t xml:space="preserve">升温速率（前 </t>
    </r>
    <r>
      <rPr>
        <sz val="10"/>
        <rFont val="Arial"/>
        <family val="0"/>
        <charset val="1"/>
      </rPr>
      <t xml:space="preserve">10 min</t>
    </r>
    <r>
      <rPr>
        <sz val="10"/>
        <rFont val="Noto Sans CJK SC"/>
        <family val="2"/>
      </rPr>
      <t xml:space="preserve">）℃</t>
    </r>
    <r>
      <rPr>
        <sz val="10"/>
        <rFont val="Arial"/>
        <family val="0"/>
        <charset val="1"/>
      </rPr>
      <t xml:space="preserve">/min</t>
    </r>
  </si>
  <si>
    <r>
      <rPr>
        <sz val="10"/>
        <rFont val="Noto Sans CJK SC"/>
        <family val="2"/>
      </rPr>
      <t xml:space="preserve">尽快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按速率 到达用时 </t>
    </r>
    <r>
      <rPr>
        <sz val="10"/>
        <rFont val="Arial"/>
        <family val="0"/>
        <charset val="1"/>
      </rPr>
      <t xml:space="preserve">min</t>
    </r>
  </si>
  <si>
    <r>
      <rPr>
        <i val="true"/>
        <sz val="9"/>
        <color rgb="FF666666"/>
        <rFont val="Noto Sans CJK SC"/>
        <family val="2"/>
      </rPr>
      <t xml:space="preserve">清单 ⑱：</t>
    </r>
    <r>
      <rPr>
        <i val="true"/>
        <sz val="9"/>
        <color rgb="FF666666"/>
        <rFont val="Arial"/>
        <family val="0"/>
        <charset val="1"/>
      </rPr>
      <t xml:space="preserve">A </t>
    </r>
    <r>
      <rPr>
        <i val="true"/>
        <sz val="9"/>
        <color rgb="FF666666"/>
        <rFont val="Noto Sans CJK SC"/>
        <family val="2"/>
      </rPr>
      <t xml:space="preserve">尽快、</t>
    </r>
    <r>
      <rPr>
        <i val="true"/>
        <sz val="9"/>
        <color rgb="FF666666"/>
        <rFont val="Arial"/>
        <family val="0"/>
        <charset val="1"/>
      </rPr>
      <t xml:space="preserve">B </t>
    </r>
    <r>
      <rPr>
        <i val="true"/>
        <sz val="9"/>
        <color rgb="FF666666"/>
        <rFont val="Noto Sans CJK SC"/>
        <family val="2"/>
      </rPr>
      <t xml:space="preserve">按速率</t>
    </r>
  </si>
  <si>
    <r>
      <rPr>
        <sz val="10"/>
        <rFont val="Noto Sans CJK SC"/>
        <family val="2"/>
      </rPr>
      <t xml:space="preserve">按速率理论用时 </t>
    </r>
    <r>
      <rPr>
        <sz val="10"/>
        <rFont val="Arial"/>
        <family val="0"/>
        <charset val="1"/>
      </rPr>
      <t xml:space="preserve">min</t>
    </r>
  </si>
  <si>
    <t xml:space="preserve">—</t>
  </si>
  <si>
    <r>
      <rPr>
        <i val="true"/>
        <sz val="9"/>
        <color rgb="FF666666"/>
        <rFont val="Arial"/>
        <family val="0"/>
        <charset val="1"/>
      </rPr>
      <t xml:space="preserve">B </t>
    </r>
    <r>
      <rPr>
        <i val="true"/>
        <sz val="9"/>
        <color rgb="FF666666"/>
        <rFont val="Noto Sans CJK SC"/>
        <family val="2"/>
      </rPr>
      <t xml:space="preserve">实际用时该 ≈ 理论用时</t>
    </r>
  </si>
  <si>
    <t xml:space="preserve">按速率最大跟踪偏差 ℃</t>
  </si>
  <si>
    <t xml:space="preserve">大了说明跟不上设定值</t>
  </si>
  <si>
    <r>
      <rPr>
        <sz val="10"/>
        <rFont val="Noto Sans CJK SC"/>
        <family val="2"/>
      </rPr>
      <t xml:space="preserve">恒温 </t>
    </r>
    <r>
      <rPr>
        <sz val="10"/>
        <rFont val="Arial"/>
        <family val="0"/>
        <charset val="1"/>
      </rPr>
      <t xml:space="preserve">Tj </t>
    </r>
    <r>
      <rPr>
        <sz val="10"/>
        <rFont val="Noto Sans CJK SC"/>
        <family val="2"/>
      </rPr>
      <t xml:space="preserve">波动 </t>
    </r>
    <r>
      <rPr>
        <sz val="10"/>
        <rFont val="Arial"/>
        <family val="0"/>
        <charset val="1"/>
      </rPr>
      <t xml:space="preserve">± ℃</t>
    </r>
  </si>
  <si>
    <t xml:space="preserve">清单 ⑳</t>
  </si>
  <si>
    <r>
      <rPr>
        <sz val="10"/>
        <rFont val="Noto Sans CJK SC"/>
        <family val="2"/>
      </rPr>
      <t xml:space="preserve">恒温 </t>
    </r>
    <r>
      <rPr>
        <sz val="10"/>
        <rFont val="Arial"/>
        <family val="0"/>
        <charset val="1"/>
      </rPr>
      <t xml:space="preserve">Tr </t>
    </r>
    <r>
      <rPr>
        <sz val="10"/>
        <rFont val="Noto Sans CJK SC"/>
        <family val="2"/>
      </rPr>
      <t xml:space="preserve">峰峰值 ℃</t>
    </r>
  </si>
  <si>
    <r>
      <rPr>
        <sz val="10"/>
        <rFont val="Noto Sans CJK SC"/>
        <family val="2"/>
      </rPr>
      <t xml:space="preserve">恒温 </t>
    </r>
    <r>
      <rPr>
        <sz val="10"/>
        <rFont val="Arial"/>
        <family val="0"/>
        <charset val="1"/>
      </rPr>
      <t xml:space="preserve">Tr </t>
    </r>
    <r>
      <rPr>
        <sz val="10"/>
        <rFont val="Noto Sans CJK SC"/>
        <family val="2"/>
      </rPr>
      <t xml:space="preserve">平均与目标差 ℃</t>
    </r>
  </si>
  <si>
    <t xml:space="preserve">恒温期间继电器动作次数</t>
  </si>
  <si>
    <r>
      <rPr>
        <i val="true"/>
        <sz val="9"/>
        <color rgb="FF666666"/>
        <rFont val="Noto Sans CJK SC"/>
        <family val="2"/>
      </rPr>
      <t xml:space="preserve">正常应为 </t>
    </r>
    <r>
      <rPr>
        <i val="true"/>
        <sz val="9"/>
        <color rgb="FF666666"/>
        <rFont val="Arial"/>
        <family val="0"/>
        <charset val="1"/>
      </rPr>
      <t xml:space="preserve">0</t>
    </r>
  </si>
  <si>
    <t xml:space="preserve">换向记录里「两只同时合」的次数</t>
  </si>
  <si>
    <r>
      <rPr>
        <i val="true"/>
        <sz val="9"/>
        <color rgb="FF666666"/>
        <rFont val="Noto Sans CJK SC"/>
        <family val="2"/>
      </rPr>
      <t xml:space="preserve">清单 ⑨：必须是 </t>
    </r>
    <r>
      <rPr>
        <i val="true"/>
        <sz val="9"/>
        <color rgb="FF666666"/>
        <rFont val="Arial"/>
        <family val="0"/>
        <charset val="1"/>
      </rPr>
      <t xml:space="preserve">0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</si>
</sst>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"/>
    <numFmt numFmtId="167" formatCode="0"/>
    <numFmt numFmtId="168" formatCode="0.000"/>
    <numFmt numFmtId="169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EF4"/>
        <bgColor rgb="FFFFFFFF"/>
      </patternFill>
    </fill>
    <fill>
      <patternFill patternType="solid">
        <fgColor rgb="FFFFF2CC"/>
        <bgColor rgb="FFE8EEF4"/>
      </patternFill>
    </fill>
    <fill>
      <patternFill patternType="solid">
        <fgColor rgb="FF4A4A4A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5" t="s">
        <v>7</v>
      </c>
    </row>
    <row r="10" customFormat="false" ht="15" hidden="false" customHeight="false" outlineLevel="0" collapsed="false">
      <c r="B10" s="5" t="s">
        <v>8</v>
      </c>
    </row>
    <row r="11" customFormat="false" ht="15" hidden="false" customHeight="false" outlineLevel="0" collapsed="false">
      <c r="B11" s="5" t="s">
        <v>9</v>
      </c>
    </row>
    <row r="12" customFormat="false" ht="15" hidden="false" customHeight="false" outlineLevel="0" collapsed="false">
      <c r="B12" s="5" t="s">
        <v>10</v>
      </c>
    </row>
    <row r="13" customFormat="false" ht="15" hidden="false" customHeight="false" outlineLevel="0" collapsed="false">
      <c r="B13" s="5" t="s">
        <v>11</v>
      </c>
    </row>
    <row r="14" customFormat="false" ht="15" hidden="false" customHeight="false" outlineLevel="0" collapsed="false">
      <c r="B14" s="3" t="s">
        <v>12</v>
      </c>
    </row>
    <row r="15" customFormat="false" ht="15" hidden="false" customHeight="false" outlineLevel="0" collapsed="false">
      <c r="B15" s="4" t="s">
        <v>13</v>
      </c>
    </row>
    <row r="16" customFormat="false" ht="15" hidden="false" customHeight="false" outlineLevel="0" collapsed="false">
      <c r="B16" s="5" t="s">
        <v>14</v>
      </c>
    </row>
    <row r="17" customFormat="false" ht="15" hidden="false" customHeight="false" outlineLevel="0" collapsed="false">
      <c r="B17" s="4" t="s">
        <v>15</v>
      </c>
    </row>
    <row r="18" customFormat="false" ht="15" hidden="false" customHeight="false" outlineLevel="0" collapsed="false">
      <c r="B18" s="3" t="s">
        <v>16</v>
      </c>
    </row>
    <row r="19" customFormat="false" ht="15" hidden="false" customHeight="false" outlineLevel="0" collapsed="false">
      <c r="B19" s="5" t="s">
        <v>17</v>
      </c>
    </row>
    <row r="21" customFormat="false" ht="15" hidden="false" customHeight="false" outlineLevel="0" collapsed="false">
      <c r="B21" s="6" t="s">
        <v>18</v>
      </c>
    </row>
    <row r="22" customFormat="false" ht="15" hidden="false" customHeight="false" outlineLevel="0" collapsed="false">
      <c r="B22" s="7" t="s">
        <v>19</v>
      </c>
    </row>
    <row r="23" customFormat="false" ht="15" hidden="false" customHeight="false" outlineLevel="0" collapsed="false">
      <c r="B23" s="8" t="s">
        <v>20</v>
      </c>
    </row>
    <row r="24" customFormat="false" ht="15" hidden="false" customHeight="false" outlineLevel="0" collapsed="false">
      <c r="B24" s="9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2" min="12" style="0" width="34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10" t="s">
        <v>24</v>
      </c>
      <c r="B4" s="11"/>
      <c r="C4" s="11"/>
      <c r="D4" s="10" t="s">
        <v>25</v>
      </c>
      <c r="E4" s="12"/>
      <c r="F4" s="12"/>
    </row>
    <row r="5" customFormat="false" ht="15" hidden="false" customHeight="false" outlineLevel="0" collapsed="false">
      <c r="A5" s="10" t="s">
        <v>26</v>
      </c>
      <c r="B5" s="13" t="n">
        <v>25</v>
      </c>
      <c r="C5" s="13"/>
      <c r="D5" s="10" t="s">
        <v>27</v>
      </c>
      <c r="E5" s="13" t="n">
        <v>20</v>
      </c>
      <c r="F5" s="13"/>
    </row>
    <row r="6" customFormat="false" ht="15" hidden="false" customHeight="false" outlineLevel="0" collapsed="false">
      <c r="A6" s="10" t="s">
        <v>28</v>
      </c>
      <c r="B6" s="13" t="n">
        <v>-30</v>
      </c>
      <c r="C6" s="13"/>
      <c r="D6" s="10" t="s">
        <v>29</v>
      </c>
      <c r="E6" s="13" t="n">
        <v>-30</v>
      </c>
      <c r="F6" s="13"/>
    </row>
    <row r="7" customFormat="false" ht="29.85" hidden="false" customHeight="true" outlineLevel="0" collapsed="false">
      <c r="A7" s="10" t="s">
        <v>30</v>
      </c>
      <c r="B7" s="14" t="s">
        <v>31</v>
      </c>
      <c r="C7" s="14"/>
      <c r="D7" s="15" t="s">
        <v>32</v>
      </c>
      <c r="E7" s="13" t="n">
        <v>90</v>
      </c>
      <c r="F7" s="13"/>
    </row>
    <row r="8" customFormat="false" ht="15" hidden="false" customHeight="true" outlineLevel="0" collapsed="false">
      <c r="A8" s="10" t="s">
        <v>33</v>
      </c>
      <c r="B8" s="12" t="s">
        <v>34</v>
      </c>
      <c r="C8" s="12"/>
      <c r="D8" s="10" t="s">
        <v>35</v>
      </c>
      <c r="E8" s="12"/>
      <c r="F8" s="12"/>
    </row>
    <row r="10" customFormat="false" ht="15" hidden="false" customHeight="false" outlineLevel="0" collapsed="false">
      <c r="A10" s="16" t="s">
        <v>36</v>
      </c>
      <c r="B10" s="17" t="s">
        <v>37</v>
      </c>
      <c r="C10" s="17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  <c r="H10" s="16" t="s">
        <v>35</v>
      </c>
      <c r="I10" s="17" t="s">
        <v>43</v>
      </c>
      <c r="J10" s="17" t="s">
        <v>44</v>
      </c>
      <c r="L10" s="16" t="s">
        <v>45</v>
      </c>
      <c r="M10" s="16" t="s">
        <v>46</v>
      </c>
    </row>
    <row r="11" customFormat="false" ht="15" hidden="false" customHeight="false" outlineLevel="0" collapsed="false">
      <c r="A11" s="18" t="n">
        <v>0</v>
      </c>
      <c r="B11" s="19" t="n">
        <v>23.5</v>
      </c>
      <c r="C11" s="19" t="n">
        <v>90</v>
      </c>
      <c r="D11" s="20" t="n">
        <v>4.2</v>
      </c>
      <c r="E11" s="19" t="n">
        <v>23.4</v>
      </c>
      <c r="F11" s="19" t="n">
        <v>90</v>
      </c>
      <c r="G11" s="20" t="n">
        <v>4.1</v>
      </c>
      <c r="H11" s="21" t="s">
        <v>47</v>
      </c>
      <c r="I11" s="22" t="n">
        <f aca="false">IF(AND(B11&lt;&gt;"",$B$6&lt;&gt;""),IF(B11&lt;=$B$6+0.5,1,0),"")</f>
        <v>0</v>
      </c>
      <c r="J11" s="22" t="n">
        <f aca="false">IF(AND(E11&lt;&gt;"",$E$6&lt;&gt;""),IF(E11&lt;=$E$6+0.5,1,0),"")</f>
        <v>0</v>
      </c>
      <c r="L11" s="15" t="s">
        <v>48</v>
      </c>
      <c r="M11" s="23" t="n">
        <f aca="false">IF(COUNT(B11:B70)=0,"",MIN(B11:B70))</f>
        <v>23.5</v>
      </c>
    </row>
    <row r="12" customFormat="false" ht="15" hidden="false" customHeight="false" outlineLevel="0" collapsed="false">
      <c r="A12" s="18" t="n">
        <v>1</v>
      </c>
      <c r="B12" s="13"/>
      <c r="C12" s="13"/>
      <c r="D12" s="24"/>
      <c r="E12" s="13"/>
      <c r="F12" s="13"/>
      <c r="G12" s="24"/>
      <c r="H12" s="12"/>
      <c r="I12" s="22" t="str">
        <f aca="false">IF(AND(B12&lt;&gt;"",$B$6&lt;&gt;""),IF(B12&lt;=$B$6+0.5,1,0),"")</f>
        <v/>
      </c>
      <c r="J12" s="22" t="str">
        <f aca="false">IF(AND(E12&lt;&gt;"",$E$6&lt;&gt;""),IF(E12&lt;=$E$6+0.5,1,0),"")</f>
        <v/>
      </c>
      <c r="L12" s="15" t="s">
        <v>49</v>
      </c>
      <c r="M12" s="22" t="str">
        <f aca="false">IFERROR(INDEX($A$11:$A$70,MATCH(1,I11:I70,0)),"未到")</f>
        <v>未到</v>
      </c>
    </row>
    <row r="13" customFormat="false" ht="15" hidden="false" customHeight="false" outlineLevel="0" collapsed="false">
      <c r="A13" s="18" t="n">
        <v>2</v>
      </c>
      <c r="B13" s="13"/>
      <c r="C13" s="13"/>
      <c r="D13" s="24"/>
      <c r="E13" s="13"/>
      <c r="F13" s="13"/>
      <c r="G13" s="24"/>
      <c r="H13" s="12"/>
      <c r="I13" s="22" t="str">
        <f aca="false">IF(AND(B13&lt;&gt;"",$B$6&lt;&gt;""),IF(B13&lt;=$B$6+0.5,1,0),"")</f>
        <v/>
      </c>
      <c r="J13" s="22" t="str">
        <f aca="false">IF(AND(E13&lt;&gt;"",$E$6&lt;&gt;""),IF(E13&lt;=$E$6+0.5,1,0),"")</f>
        <v/>
      </c>
      <c r="L13" s="15" t="s">
        <v>50</v>
      </c>
      <c r="M13" s="23" t="n">
        <f aca="false">IF(OR(M11="",$B$6=""),"",M11-$B$6)</f>
        <v>53.5</v>
      </c>
    </row>
    <row r="14" customFormat="false" ht="15" hidden="false" customHeight="false" outlineLevel="0" collapsed="false">
      <c r="A14" s="18" t="n">
        <v>3</v>
      </c>
      <c r="B14" s="13"/>
      <c r="C14" s="13"/>
      <c r="D14" s="24"/>
      <c r="E14" s="13"/>
      <c r="F14" s="13"/>
      <c r="G14" s="24"/>
      <c r="H14" s="12"/>
      <c r="I14" s="22" t="str">
        <f aca="false">IF(AND(B14&lt;&gt;"",$B$6&lt;&gt;""),IF(B14&lt;=$B$6+0.5,1,0),"")</f>
        <v/>
      </c>
      <c r="J14" s="22" t="str">
        <f aca="false">IF(AND(E14&lt;&gt;"",$E$6&lt;&gt;""),IF(E14&lt;=$E$6+0.5,1,0),"")</f>
        <v/>
      </c>
      <c r="L14" s="15" t="s">
        <v>51</v>
      </c>
      <c r="M14" s="25" t="str">
        <f aca="false">IF(OR(B11="",B21="",A21=A11),"",(B11-B21)/(A21-A11))</f>
        <v/>
      </c>
    </row>
    <row r="15" customFormat="false" ht="15" hidden="false" customHeight="false" outlineLevel="0" collapsed="false">
      <c r="A15" s="18" t="n">
        <v>4</v>
      </c>
      <c r="B15" s="13"/>
      <c r="C15" s="13"/>
      <c r="D15" s="24"/>
      <c r="E15" s="13"/>
      <c r="F15" s="13"/>
      <c r="G15" s="24"/>
      <c r="H15" s="12"/>
      <c r="I15" s="22" t="str">
        <f aca="false">IF(AND(B15&lt;&gt;"",$B$6&lt;&gt;""),IF(B15&lt;=$B$6+0.5,1,0),"")</f>
        <v/>
      </c>
      <c r="J15" s="22" t="str">
        <f aca="false">IF(AND(E15&lt;&gt;"",$E$6&lt;&gt;""),IF(E15&lt;=$E$6+0.5,1,0),"")</f>
        <v/>
      </c>
      <c r="L15" s="15" t="s">
        <v>52</v>
      </c>
      <c r="M15" s="23" t="n">
        <f aca="false">IF(COUNT(C11:C70)=0,"",AVERAGE(C11:C70))</f>
        <v>90</v>
      </c>
    </row>
    <row r="16" customFormat="false" ht="15" hidden="false" customHeight="false" outlineLevel="0" collapsed="false">
      <c r="A16" s="18" t="n">
        <v>5</v>
      </c>
      <c r="B16" s="13"/>
      <c r="C16" s="13"/>
      <c r="D16" s="24"/>
      <c r="E16" s="13"/>
      <c r="F16" s="13"/>
      <c r="G16" s="24"/>
      <c r="H16" s="12"/>
      <c r="I16" s="22" t="str">
        <f aca="false">IF(AND(B16&lt;&gt;"",$B$6&lt;&gt;""),IF(B16&lt;=$B$6+0.5,1,0),"")</f>
        <v/>
      </c>
      <c r="J16" s="22" t="str">
        <f aca="false">IF(AND(E16&lt;&gt;"",$E$6&lt;&gt;""),IF(E16&lt;=$E$6+0.5,1,0),"")</f>
        <v/>
      </c>
      <c r="L16" s="15" t="s">
        <v>53</v>
      </c>
      <c r="M16" s="26" t="n">
        <f aca="false">IF(COUNT(D11:D70)=0,"",MAX(D11:D70))</f>
        <v>4.2</v>
      </c>
    </row>
    <row r="17" customFormat="false" ht="15" hidden="false" customHeight="false" outlineLevel="0" collapsed="false">
      <c r="A17" s="18" t="n">
        <v>6</v>
      </c>
      <c r="B17" s="13"/>
      <c r="C17" s="13"/>
      <c r="D17" s="24"/>
      <c r="E17" s="13"/>
      <c r="F17" s="13"/>
      <c r="G17" s="24"/>
      <c r="H17" s="12"/>
      <c r="I17" s="22" t="str">
        <f aca="false">IF(AND(B17&lt;&gt;"",$B$6&lt;&gt;""),IF(B17&lt;=$B$6+0.5,1,0),"")</f>
        <v/>
      </c>
      <c r="J17" s="22" t="str">
        <f aca="false">IF(AND(E17&lt;&gt;"",$E$6&lt;&gt;""),IF(E17&lt;=$E$6+0.5,1,0),"")</f>
        <v/>
      </c>
    </row>
    <row r="18" customFormat="false" ht="15" hidden="false" customHeight="false" outlineLevel="0" collapsed="false">
      <c r="A18" s="18" t="n">
        <v>7</v>
      </c>
      <c r="B18" s="13"/>
      <c r="C18" s="13"/>
      <c r="D18" s="24"/>
      <c r="E18" s="13"/>
      <c r="F18" s="13"/>
      <c r="G18" s="24"/>
      <c r="H18" s="12"/>
      <c r="I18" s="22" t="str">
        <f aca="false">IF(AND(B18&lt;&gt;"",$B$6&lt;&gt;""),IF(B18&lt;=$B$6+0.5,1,0),"")</f>
        <v/>
      </c>
      <c r="J18" s="22" t="str">
        <f aca="false">IF(AND(E18&lt;&gt;"",$E$6&lt;&gt;""),IF(E18&lt;=$E$6+0.5,1,0),"")</f>
        <v/>
      </c>
      <c r="L18" s="15" t="s">
        <v>54</v>
      </c>
      <c r="M18" s="23" t="n">
        <f aca="false">IF(COUNT(E11:E70)=0,"",MIN(E11:E70))</f>
        <v>23.4</v>
      </c>
    </row>
    <row r="19" customFormat="false" ht="15" hidden="false" customHeight="false" outlineLevel="0" collapsed="false">
      <c r="A19" s="18" t="n">
        <v>8</v>
      </c>
      <c r="B19" s="13"/>
      <c r="C19" s="13"/>
      <c r="D19" s="24"/>
      <c r="E19" s="13"/>
      <c r="F19" s="13"/>
      <c r="G19" s="24"/>
      <c r="H19" s="12"/>
      <c r="I19" s="22" t="str">
        <f aca="false">IF(AND(B19&lt;&gt;"",$B$6&lt;&gt;""),IF(B19&lt;=$B$6+0.5,1,0),"")</f>
        <v/>
      </c>
      <c r="J19" s="22" t="str">
        <f aca="false">IF(AND(E19&lt;&gt;"",$E$6&lt;&gt;""),IF(E19&lt;=$E$6+0.5,1,0),"")</f>
        <v/>
      </c>
      <c r="L19" s="15" t="s">
        <v>55</v>
      </c>
      <c r="M19" s="22" t="str">
        <f aca="false">IFERROR(INDEX($A$11:$A$70,MATCH(1,J11:J70,0)),"未到")</f>
        <v>未到</v>
      </c>
    </row>
    <row r="20" customFormat="false" ht="15" hidden="false" customHeight="false" outlineLevel="0" collapsed="false">
      <c r="A20" s="18" t="n">
        <v>9</v>
      </c>
      <c r="B20" s="13"/>
      <c r="C20" s="13"/>
      <c r="D20" s="24"/>
      <c r="E20" s="13"/>
      <c r="F20" s="13"/>
      <c r="G20" s="24"/>
      <c r="H20" s="12"/>
      <c r="I20" s="22" t="str">
        <f aca="false">IF(AND(B20&lt;&gt;"",$B$6&lt;&gt;""),IF(B20&lt;=$B$6+0.5,1,0),"")</f>
        <v/>
      </c>
      <c r="J20" s="22" t="str">
        <f aca="false">IF(AND(E20&lt;&gt;"",$E$6&lt;&gt;""),IF(E20&lt;=$E$6+0.5,1,0),"")</f>
        <v/>
      </c>
      <c r="L20" s="15" t="s">
        <v>56</v>
      </c>
      <c r="M20" s="23" t="n">
        <f aca="false">IF(OR(M18="",$E$6=""),"",M18-$E$6)</f>
        <v>53.4</v>
      </c>
    </row>
    <row r="21" customFormat="false" ht="15" hidden="false" customHeight="false" outlineLevel="0" collapsed="false">
      <c r="A21" s="18" t="n">
        <v>10</v>
      </c>
      <c r="B21" s="13"/>
      <c r="C21" s="13"/>
      <c r="D21" s="24"/>
      <c r="E21" s="13"/>
      <c r="F21" s="13"/>
      <c r="G21" s="24"/>
      <c r="H21" s="12"/>
      <c r="I21" s="22" t="str">
        <f aca="false">IF(AND(B21&lt;&gt;"",$B$6&lt;&gt;""),IF(B21&lt;=$B$6+0.5,1,0),"")</f>
        <v/>
      </c>
      <c r="J21" s="22" t="str">
        <f aca="false">IF(AND(E21&lt;&gt;"",$E$6&lt;&gt;""),IF(E21&lt;=$E$6+0.5,1,0),"")</f>
        <v/>
      </c>
      <c r="L21" s="15" t="s">
        <v>57</v>
      </c>
      <c r="M21" s="25" t="str">
        <f aca="false">IF(OR(E11="",E21="",A21=A11),"",(E11-E21)/(A21-A11))</f>
        <v/>
      </c>
    </row>
    <row r="22" customFormat="false" ht="15" hidden="false" customHeight="false" outlineLevel="0" collapsed="false">
      <c r="A22" s="18" t="n">
        <v>11</v>
      </c>
      <c r="B22" s="13"/>
      <c r="C22" s="13"/>
      <c r="D22" s="24"/>
      <c r="E22" s="13"/>
      <c r="F22" s="13"/>
      <c r="G22" s="24"/>
      <c r="H22" s="12"/>
      <c r="I22" s="22" t="str">
        <f aca="false">IF(AND(B22&lt;&gt;"",$B$6&lt;&gt;""),IF(B22&lt;=$B$6+0.5,1,0),"")</f>
        <v/>
      </c>
      <c r="J22" s="22" t="str">
        <f aca="false">IF(AND(E22&lt;&gt;"",$E$6&lt;&gt;""),IF(E22&lt;=$E$6+0.5,1,0),"")</f>
        <v/>
      </c>
      <c r="L22" s="15" t="s">
        <v>58</v>
      </c>
      <c r="M22" s="23" t="n">
        <f aca="false">IF(COUNT(F11:F70)=0,"",AVERAGE(F11:F70))</f>
        <v>90</v>
      </c>
    </row>
    <row r="23" customFormat="false" ht="15" hidden="false" customHeight="false" outlineLevel="0" collapsed="false">
      <c r="A23" s="18" t="n">
        <v>12</v>
      </c>
      <c r="B23" s="13"/>
      <c r="C23" s="13"/>
      <c r="D23" s="24"/>
      <c r="E23" s="13"/>
      <c r="F23" s="13"/>
      <c r="G23" s="24"/>
      <c r="H23" s="12"/>
      <c r="I23" s="22" t="str">
        <f aca="false">IF(AND(B23&lt;&gt;"",$B$6&lt;&gt;""),IF(B23&lt;=$B$6+0.5,1,0),"")</f>
        <v/>
      </c>
      <c r="J23" s="22" t="str">
        <f aca="false">IF(AND(E23&lt;&gt;"",$E$6&lt;&gt;""),IF(E23&lt;=$E$6+0.5,1,0),"")</f>
        <v/>
      </c>
      <c r="L23" s="15" t="s">
        <v>59</v>
      </c>
      <c r="M23" s="26" t="n">
        <f aca="false">IF(COUNT(G11:G70)=0,"",MAX(G11:G70))</f>
        <v>4.1</v>
      </c>
    </row>
    <row r="24" customFormat="false" ht="15" hidden="false" customHeight="false" outlineLevel="0" collapsed="false">
      <c r="A24" s="18" t="n">
        <v>13</v>
      </c>
      <c r="B24" s="13"/>
      <c r="C24" s="13"/>
      <c r="D24" s="24"/>
      <c r="E24" s="13"/>
      <c r="F24" s="13"/>
      <c r="G24" s="24"/>
      <c r="H24" s="12"/>
      <c r="I24" s="22" t="str">
        <f aca="false">IF(AND(B24&lt;&gt;"",$B$6&lt;&gt;""),IF(B24&lt;=$B$6+0.5,1,0),"")</f>
        <v/>
      </c>
      <c r="J24" s="22" t="str">
        <f aca="false">IF(AND(E24&lt;&gt;"",$E$6&lt;&gt;""),IF(E24&lt;=$E$6+0.5,1,0),"")</f>
        <v/>
      </c>
    </row>
    <row r="25" customFormat="false" ht="15" hidden="false" customHeight="false" outlineLevel="0" collapsed="false">
      <c r="A25" s="18" t="n">
        <v>14</v>
      </c>
      <c r="B25" s="13"/>
      <c r="C25" s="13"/>
      <c r="D25" s="24"/>
      <c r="E25" s="13"/>
      <c r="F25" s="13"/>
      <c r="G25" s="24"/>
      <c r="H25" s="12"/>
      <c r="I25" s="22" t="str">
        <f aca="false">IF(AND(B25&lt;&gt;"",$B$6&lt;&gt;""),IF(B25&lt;=$B$6+0.5,1,0),"")</f>
        <v/>
      </c>
      <c r="J25" s="22" t="str">
        <f aca="false">IF(AND(E25&lt;&gt;"",$E$6&lt;&gt;""),IF(E25&lt;=$E$6+0.5,1,0),"")</f>
        <v/>
      </c>
    </row>
    <row r="26" customFormat="false" ht="15" hidden="false" customHeight="false" outlineLevel="0" collapsed="false">
      <c r="A26" s="18" t="n">
        <v>15</v>
      </c>
      <c r="B26" s="13"/>
      <c r="C26" s="13"/>
      <c r="D26" s="24"/>
      <c r="E26" s="13"/>
      <c r="F26" s="13"/>
      <c r="G26" s="24"/>
      <c r="H26" s="12"/>
      <c r="I26" s="22" t="str">
        <f aca="false">IF(AND(B26&lt;&gt;"",$B$6&lt;&gt;""),IF(B26&lt;=$B$6+0.5,1,0),"")</f>
        <v/>
      </c>
      <c r="J26" s="22" t="str">
        <f aca="false">IF(AND(E26&lt;&gt;"",$E$6&lt;&gt;""),IF(E26&lt;=$E$6+0.5,1,0),"")</f>
        <v/>
      </c>
    </row>
    <row r="27" customFormat="false" ht="15" hidden="false" customHeight="false" outlineLevel="0" collapsed="false">
      <c r="A27" s="18" t="n">
        <v>16</v>
      </c>
      <c r="B27" s="13"/>
      <c r="C27" s="13"/>
      <c r="D27" s="24"/>
      <c r="E27" s="13"/>
      <c r="F27" s="13"/>
      <c r="G27" s="24"/>
      <c r="H27" s="12"/>
      <c r="I27" s="22" t="str">
        <f aca="false">IF(AND(B27&lt;&gt;"",$B$6&lt;&gt;""),IF(B27&lt;=$B$6+0.5,1,0),"")</f>
        <v/>
      </c>
      <c r="J27" s="22" t="str">
        <f aca="false">IF(AND(E27&lt;&gt;"",$E$6&lt;&gt;""),IF(E27&lt;=$E$6+0.5,1,0),"")</f>
        <v/>
      </c>
    </row>
    <row r="28" customFormat="false" ht="15" hidden="false" customHeight="false" outlineLevel="0" collapsed="false">
      <c r="A28" s="18" t="n">
        <v>17</v>
      </c>
      <c r="B28" s="13"/>
      <c r="C28" s="13"/>
      <c r="D28" s="24"/>
      <c r="E28" s="13"/>
      <c r="F28" s="13"/>
      <c r="G28" s="24"/>
      <c r="H28" s="12"/>
      <c r="I28" s="22" t="str">
        <f aca="false">IF(AND(B28&lt;&gt;"",$B$6&lt;&gt;""),IF(B28&lt;=$B$6+0.5,1,0),"")</f>
        <v/>
      </c>
      <c r="J28" s="22" t="str">
        <f aca="false">IF(AND(E28&lt;&gt;"",$E$6&lt;&gt;""),IF(E28&lt;=$E$6+0.5,1,0),"")</f>
        <v/>
      </c>
    </row>
    <row r="29" customFormat="false" ht="15" hidden="false" customHeight="false" outlineLevel="0" collapsed="false">
      <c r="A29" s="18" t="n">
        <v>18</v>
      </c>
      <c r="B29" s="13"/>
      <c r="C29" s="13"/>
      <c r="D29" s="24"/>
      <c r="E29" s="13"/>
      <c r="F29" s="13"/>
      <c r="G29" s="24"/>
      <c r="H29" s="12"/>
      <c r="I29" s="22" t="str">
        <f aca="false">IF(AND(B29&lt;&gt;"",$B$6&lt;&gt;""),IF(B29&lt;=$B$6+0.5,1,0),"")</f>
        <v/>
      </c>
      <c r="J29" s="22" t="str">
        <f aca="false">IF(AND(E29&lt;&gt;"",$E$6&lt;&gt;""),IF(E29&lt;=$E$6+0.5,1,0),"")</f>
        <v/>
      </c>
    </row>
    <row r="30" customFormat="false" ht="15" hidden="false" customHeight="false" outlineLevel="0" collapsed="false">
      <c r="A30" s="18" t="n">
        <v>19</v>
      </c>
      <c r="B30" s="13"/>
      <c r="C30" s="13"/>
      <c r="D30" s="24"/>
      <c r="E30" s="13"/>
      <c r="F30" s="13"/>
      <c r="G30" s="24"/>
      <c r="H30" s="12"/>
      <c r="I30" s="22" t="str">
        <f aca="false">IF(AND(B30&lt;&gt;"",$B$6&lt;&gt;""),IF(B30&lt;=$B$6+0.5,1,0),"")</f>
        <v/>
      </c>
      <c r="J30" s="22" t="str">
        <f aca="false">IF(AND(E30&lt;&gt;"",$E$6&lt;&gt;""),IF(E30&lt;=$E$6+0.5,1,0),"")</f>
        <v/>
      </c>
    </row>
    <row r="31" customFormat="false" ht="15" hidden="false" customHeight="false" outlineLevel="0" collapsed="false">
      <c r="A31" s="18" t="n">
        <v>20</v>
      </c>
      <c r="B31" s="13"/>
      <c r="C31" s="13"/>
      <c r="D31" s="24"/>
      <c r="E31" s="13"/>
      <c r="F31" s="13"/>
      <c r="G31" s="24"/>
      <c r="H31" s="12"/>
      <c r="I31" s="22" t="str">
        <f aca="false">IF(AND(B31&lt;&gt;"",$B$6&lt;&gt;""),IF(B31&lt;=$B$6+0.5,1,0),"")</f>
        <v/>
      </c>
      <c r="J31" s="22" t="str">
        <f aca="false">IF(AND(E31&lt;&gt;"",$E$6&lt;&gt;""),IF(E31&lt;=$E$6+0.5,1,0),"")</f>
        <v/>
      </c>
    </row>
    <row r="32" customFormat="false" ht="15" hidden="false" customHeight="false" outlineLevel="0" collapsed="false">
      <c r="A32" s="18" t="n">
        <v>21</v>
      </c>
      <c r="B32" s="13"/>
      <c r="C32" s="13"/>
      <c r="D32" s="24"/>
      <c r="E32" s="13"/>
      <c r="F32" s="13"/>
      <c r="G32" s="24"/>
      <c r="H32" s="12"/>
      <c r="I32" s="22" t="str">
        <f aca="false">IF(AND(B32&lt;&gt;"",$B$6&lt;&gt;""),IF(B32&lt;=$B$6+0.5,1,0),"")</f>
        <v/>
      </c>
      <c r="J32" s="22" t="str">
        <f aca="false">IF(AND(E32&lt;&gt;"",$E$6&lt;&gt;""),IF(E32&lt;=$E$6+0.5,1,0),"")</f>
        <v/>
      </c>
    </row>
    <row r="33" customFormat="false" ht="15" hidden="false" customHeight="false" outlineLevel="0" collapsed="false">
      <c r="A33" s="18" t="n">
        <v>22</v>
      </c>
      <c r="B33" s="13"/>
      <c r="C33" s="13"/>
      <c r="D33" s="24"/>
      <c r="E33" s="13"/>
      <c r="F33" s="13"/>
      <c r="G33" s="24"/>
      <c r="H33" s="12"/>
      <c r="I33" s="22" t="str">
        <f aca="false">IF(AND(B33&lt;&gt;"",$B$6&lt;&gt;""),IF(B33&lt;=$B$6+0.5,1,0),"")</f>
        <v/>
      </c>
      <c r="J33" s="22" t="str">
        <f aca="false">IF(AND(E33&lt;&gt;"",$E$6&lt;&gt;""),IF(E33&lt;=$E$6+0.5,1,0),"")</f>
        <v/>
      </c>
    </row>
    <row r="34" customFormat="false" ht="15" hidden="false" customHeight="false" outlineLevel="0" collapsed="false">
      <c r="A34" s="18" t="n">
        <v>23</v>
      </c>
      <c r="B34" s="13"/>
      <c r="C34" s="13"/>
      <c r="D34" s="24"/>
      <c r="E34" s="13"/>
      <c r="F34" s="13"/>
      <c r="G34" s="24"/>
      <c r="H34" s="12"/>
      <c r="I34" s="22" t="str">
        <f aca="false">IF(AND(B34&lt;&gt;"",$B$6&lt;&gt;""),IF(B34&lt;=$B$6+0.5,1,0),"")</f>
        <v/>
      </c>
      <c r="J34" s="22" t="str">
        <f aca="false">IF(AND(E34&lt;&gt;"",$E$6&lt;&gt;""),IF(E34&lt;=$E$6+0.5,1,0),"")</f>
        <v/>
      </c>
    </row>
    <row r="35" customFormat="false" ht="15" hidden="false" customHeight="false" outlineLevel="0" collapsed="false">
      <c r="A35" s="18" t="n">
        <v>24</v>
      </c>
      <c r="B35" s="13"/>
      <c r="C35" s="13"/>
      <c r="D35" s="24"/>
      <c r="E35" s="13"/>
      <c r="F35" s="13"/>
      <c r="G35" s="24"/>
      <c r="H35" s="12"/>
      <c r="I35" s="22" t="str">
        <f aca="false">IF(AND(B35&lt;&gt;"",$B$6&lt;&gt;""),IF(B35&lt;=$B$6+0.5,1,0),"")</f>
        <v/>
      </c>
      <c r="J35" s="22" t="str">
        <f aca="false">IF(AND(E35&lt;&gt;"",$E$6&lt;&gt;""),IF(E35&lt;=$E$6+0.5,1,0),"")</f>
        <v/>
      </c>
    </row>
    <row r="36" customFormat="false" ht="15" hidden="false" customHeight="false" outlineLevel="0" collapsed="false">
      <c r="A36" s="18" t="n">
        <v>25</v>
      </c>
      <c r="B36" s="13"/>
      <c r="C36" s="13"/>
      <c r="D36" s="24"/>
      <c r="E36" s="13"/>
      <c r="F36" s="13"/>
      <c r="G36" s="24"/>
      <c r="H36" s="12"/>
      <c r="I36" s="22" t="str">
        <f aca="false">IF(AND(B36&lt;&gt;"",$B$6&lt;&gt;""),IF(B36&lt;=$B$6+0.5,1,0),"")</f>
        <v/>
      </c>
      <c r="J36" s="22" t="str">
        <f aca="false">IF(AND(E36&lt;&gt;"",$E$6&lt;&gt;""),IF(E36&lt;=$E$6+0.5,1,0),"")</f>
        <v/>
      </c>
    </row>
    <row r="37" customFormat="false" ht="15" hidden="false" customHeight="false" outlineLevel="0" collapsed="false">
      <c r="A37" s="18" t="n">
        <v>26</v>
      </c>
      <c r="B37" s="13"/>
      <c r="C37" s="13"/>
      <c r="D37" s="24"/>
      <c r="E37" s="13"/>
      <c r="F37" s="13"/>
      <c r="G37" s="24"/>
      <c r="H37" s="12"/>
      <c r="I37" s="22" t="str">
        <f aca="false">IF(AND(B37&lt;&gt;"",$B$6&lt;&gt;""),IF(B37&lt;=$B$6+0.5,1,0),"")</f>
        <v/>
      </c>
      <c r="J37" s="22" t="str">
        <f aca="false">IF(AND(E37&lt;&gt;"",$E$6&lt;&gt;""),IF(E37&lt;=$E$6+0.5,1,0),"")</f>
        <v/>
      </c>
    </row>
    <row r="38" customFormat="false" ht="15" hidden="false" customHeight="false" outlineLevel="0" collapsed="false">
      <c r="A38" s="18" t="n">
        <v>27</v>
      </c>
      <c r="B38" s="13"/>
      <c r="C38" s="13"/>
      <c r="D38" s="24"/>
      <c r="E38" s="13"/>
      <c r="F38" s="13"/>
      <c r="G38" s="24"/>
      <c r="H38" s="12"/>
      <c r="I38" s="22" t="str">
        <f aca="false">IF(AND(B38&lt;&gt;"",$B$6&lt;&gt;""),IF(B38&lt;=$B$6+0.5,1,0),"")</f>
        <v/>
      </c>
      <c r="J38" s="22" t="str">
        <f aca="false">IF(AND(E38&lt;&gt;"",$E$6&lt;&gt;""),IF(E38&lt;=$E$6+0.5,1,0),"")</f>
        <v/>
      </c>
    </row>
    <row r="39" customFormat="false" ht="15" hidden="false" customHeight="false" outlineLevel="0" collapsed="false">
      <c r="A39" s="18" t="n">
        <v>28</v>
      </c>
      <c r="B39" s="13"/>
      <c r="C39" s="13"/>
      <c r="D39" s="24"/>
      <c r="E39" s="13"/>
      <c r="F39" s="13"/>
      <c r="G39" s="24"/>
      <c r="H39" s="12"/>
      <c r="I39" s="22" t="str">
        <f aca="false">IF(AND(B39&lt;&gt;"",$B$6&lt;&gt;""),IF(B39&lt;=$B$6+0.5,1,0),"")</f>
        <v/>
      </c>
      <c r="J39" s="22" t="str">
        <f aca="false">IF(AND(E39&lt;&gt;"",$E$6&lt;&gt;""),IF(E39&lt;=$E$6+0.5,1,0),"")</f>
        <v/>
      </c>
    </row>
    <row r="40" customFormat="false" ht="15" hidden="false" customHeight="false" outlineLevel="0" collapsed="false">
      <c r="A40" s="18" t="n">
        <v>29</v>
      </c>
      <c r="B40" s="13"/>
      <c r="C40" s="13"/>
      <c r="D40" s="24"/>
      <c r="E40" s="13"/>
      <c r="F40" s="13"/>
      <c r="G40" s="24"/>
      <c r="H40" s="12"/>
      <c r="I40" s="22" t="str">
        <f aca="false">IF(AND(B40&lt;&gt;"",$B$6&lt;&gt;""),IF(B40&lt;=$B$6+0.5,1,0),"")</f>
        <v/>
      </c>
      <c r="J40" s="22" t="str">
        <f aca="false">IF(AND(E40&lt;&gt;"",$E$6&lt;&gt;""),IF(E40&lt;=$E$6+0.5,1,0),"")</f>
        <v/>
      </c>
    </row>
    <row r="41" customFormat="false" ht="15" hidden="false" customHeight="false" outlineLevel="0" collapsed="false">
      <c r="A41" s="18" t="n">
        <v>30</v>
      </c>
      <c r="B41" s="13"/>
      <c r="C41" s="13"/>
      <c r="D41" s="24"/>
      <c r="E41" s="13"/>
      <c r="F41" s="13"/>
      <c r="G41" s="24"/>
      <c r="H41" s="12"/>
      <c r="I41" s="22" t="str">
        <f aca="false">IF(AND(B41&lt;&gt;"",$B$6&lt;&gt;""),IF(B41&lt;=$B$6+0.5,1,0),"")</f>
        <v/>
      </c>
      <c r="J41" s="22" t="str">
        <f aca="false">IF(AND(E41&lt;&gt;"",$E$6&lt;&gt;""),IF(E41&lt;=$E$6+0.5,1,0),"")</f>
        <v/>
      </c>
    </row>
    <row r="42" customFormat="false" ht="15" hidden="false" customHeight="false" outlineLevel="0" collapsed="false">
      <c r="A42" s="18" t="n">
        <v>31</v>
      </c>
      <c r="B42" s="13"/>
      <c r="C42" s="13"/>
      <c r="D42" s="24"/>
      <c r="E42" s="13"/>
      <c r="F42" s="13"/>
      <c r="G42" s="24"/>
      <c r="H42" s="12"/>
      <c r="I42" s="22" t="str">
        <f aca="false">IF(AND(B42&lt;&gt;"",$B$6&lt;&gt;""),IF(B42&lt;=$B$6+0.5,1,0),"")</f>
        <v/>
      </c>
      <c r="J42" s="22" t="str">
        <f aca="false">IF(AND(E42&lt;&gt;"",$E$6&lt;&gt;""),IF(E42&lt;=$E$6+0.5,1,0),"")</f>
        <v/>
      </c>
    </row>
    <row r="43" customFormat="false" ht="15" hidden="false" customHeight="false" outlineLevel="0" collapsed="false">
      <c r="A43" s="18" t="n">
        <v>32</v>
      </c>
      <c r="B43" s="13"/>
      <c r="C43" s="13"/>
      <c r="D43" s="24"/>
      <c r="E43" s="13"/>
      <c r="F43" s="13"/>
      <c r="G43" s="24"/>
      <c r="H43" s="12"/>
      <c r="I43" s="22" t="str">
        <f aca="false">IF(AND(B43&lt;&gt;"",$B$6&lt;&gt;""),IF(B43&lt;=$B$6+0.5,1,0),"")</f>
        <v/>
      </c>
      <c r="J43" s="22" t="str">
        <f aca="false">IF(AND(E43&lt;&gt;"",$E$6&lt;&gt;""),IF(E43&lt;=$E$6+0.5,1,0),"")</f>
        <v/>
      </c>
    </row>
    <row r="44" customFormat="false" ht="15" hidden="false" customHeight="false" outlineLevel="0" collapsed="false">
      <c r="A44" s="18" t="n">
        <v>33</v>
      </c>
      <c r="B44" s="13"/>
      <c r="C44" s="13"/>
      <c r="D44" s="24"/>
      <c r="E44" s="13"/>
      <c r="F44" s="13"/>
      <c r="G44" s="24"/>
      <c r="H44" s="12"/>
      <c r="I44" s="22" t="str">
        <f aca="false">IF(AND(B44&lt;&gt;"",$B$6&lt;&gt;""),IF(B44&lt;=$B$6+0.5,1,0),"")</f>
        <v/>
      </c>
      <c r="J44" s="22" t="str">
        <f aca="false">IF(AND(E44&lt;&gt;"",$E$6&lt;&gt;""),IF(E44&lt;=$E$6+0.5,1,0),"")</f>
        <v/>
      </c>
    </row>
    <row r="45" customFormat="false" ht="15" hidden="false" customHeight="false" outlineLevel="0" collapsed="false">
      <c r="A45" s="18" t="n">
        <v>34</v>
      </c>
      <c r="B45" s="13"/>
      <c r="C45" s="13"/>
      <c r="D45" s="24"/>
      <c r="E45" s="13"/>
      <c r="F45" s="13"/>
      <c r="G45" s="24"/>
      <c r="H45" s="12"/>
      <c r="I45" s="22" t="str">
        <f aca="false">IF(AND(B45&lt;&gt;"",$B$6&lt;&gt;""),IF(B45&lt;=$B$6+0.5,1,0),"")</f>
        <v/>
      </c>
      <c r="J45" s="22" t="str">
        <f aca="false">IF(AND(E45&lt;&gt;"",$E$6&lt;&gt;""),IF(E45&lt;=$E$6+0.5,1,0),"")</f>
        <v/>
      </c>
    </row>
    <row r="46" customFormat="false" ht="15" hidden="false" customHeight="false" outlineLevel="0" collapsed="false">
      <c r="A46" s="18" t="n">
        <v>35</v>
      </c>
      <c r="B46" s="13"/>
      <c r="C46" s="13"/>
      <c r="D46" s="24"/>
      <c r="E46" s="13"/>
      <c r="F46" s="13"/>
      <c r="G46" s="24"/>
      <c r="H46" s="12"/>
      <c r="I46" s="22" t="str">
        <f aca="false">IF(AND(B46&lt;&gt;"",$B$6&lt;&gt;""),IF(B46&lt;=$B$6+0.5,1,0),"")</f>
        <v/>
      </c>
      <c r="J46" s="22" t="str">
        <f aca="false">IF(AND(E46&lt;&gt;"",$E$6&lt;&gt;""),IF(E46&lt;=$E$6+0.5,1,0),"")</f>
        <v/>
      </c>
    </row>
    <row r="47" customFormat="false" ht="15" hidden="false" customHeight="false" outlineLevel="0" collapsed="false">
      <c r="A47" s="18" t="n">
        <v>36</v>
      </c>
      <c r="B47" s="13"/>
      <c r="C47" s="13"/>
      <c r="D47" s="24"/>
      <c r="E47" s="13"/>
      <c r="F47" s="13"/>
      <c r="G47" s="24"/>
      <c r="H47" s="12"/>
      <c r="I47" s="22" t="str">
        <f aca="false">IF(AND(B47&lt;&gt;"",$B$6&lt;&gt;""),IF(B47&lt;=$B$6+0.5,1,0),"")</f>
        <v/>
      </c>
      <c r="J47" s="22" t="str">
        <f aca="false">IF(AND(E47&lt;&gt;"",$E$6&lt;&gt;""),IF(E47&lt;=$E$6+0.5,1,0),"")</f>
        <v/>
      </c>
    </row>
    <row r="48" customFormat="false" ht="15" hidden="false" customHeight="false" outlineLevel="0" collapsed="false">
      <c r="A48" s="18" t="n">
        <v>37</v>
      </c>
      <c r="B48" s="13"/>
      <c r="C48" s="13"/>
      <c r="D48" s="24"/>
      <c r="E48" s="13"/>
      <c r="F48" s="13"/>
      <c r="G48" s="24"/>
      <c r="H48" s="12"/>
      <c r="I48" s="22" t="str">
        <f aca="false">IF(AND(B48&lt;&gt;"",$B$6&lt;&gt;""),IF(B48&lt;=$B$6+0.5,1,0),"")</f>
        <v/>
      </c>
      <c r="J48" s="22" t="str">
        <f aca="false">IF(AND(E48&lt;&gt;"",$E$6&lt;&gt;""),IF(E48&lt;=$E$6+0.5,1,0),"")</f>
        <v/>
      </c>
    </row>
    <row r="49" customFormat="false" ht="15" hidden="false" customHeight="false" outlineLevel="0" collapsed="false">
      <c r="A49" s="18" t="n">
        <v>38</v>
      </c>
      <c r="B49" s="13"/>
      <c r="C49" s="13"/>
      <c r="D49" s="24"/>
      <c r="E49" s="13"/>
      <c r="F49" s="13"/>
      <c r="G49" s="24"/>
      <c r="H49" s="12"/>
      <c r="I49" s="22" t="str">
        <f aca="false">IF(AND(B49&lt;&gt;"",$B$6&lt;&gt;""),IF(B49&lt;=$B$6+0.5,1,0),"")</f>
        <v/>
      </c>
      <c r="J49" s="22" t="str">
        <f aca="false">IF(AND(E49&lt;&gt;"",$E$6&lt;&gt;""),IF(E49&lt;=$E$6+0.5,1,0),"")</f>
        <v/>
      </c>
    </row>
    <row r="50" customFormat="false" ht="15" hidden="false" customHeight="false" outlineLevel="0" collapsed="false">
      <c r="A50" s="18" t="n">
        <v>39</v>
      </c>
      <c r="B50" s="13"/>
      <c r="C50" s="13"/>
      <c r="D50" s="24"/>
      <c r="E50" s="13"/>
      <c r="F50" s="13"/>
      <c r="G50" s="24"/>
      <c r="H50" s="12"/>
      <c r="I50" s="22" t="str">
        <f aca="false">IF(AND(B50&lt;&gt;"",$B$6&lt;&gt;""),IF(B50&lt;=$B$6+0.5,1,0),"")</f>
        <v/>
      </c>
      <c r="J50" s="22" t="str">
        <f aca="false">IF(AND(E50&lt;&gt;"",$E$6&lt;&gt;""),IF(E50&lt;=$E$6+0.5,1,0),"")</f>
        <v/>
      </c>
    </row>
    <row r="51" customFormat="false" ht="15" hidden="false" customHeight="false" outlineLevel="0" collapsed="false">
      <c r="A51" s="18" t="n">
        <v>40</v>
      </c>
      <c r="B51" s="13"/>
      <c r="C51" s="13"/>
      <c r="D51" s="24"/>
      <c r="E51" s="13"/>
      <c r="F51" s="13"/>
      <c r="G51" s="24"/>
      <c r="H51" s="12"/>
      <c r="I51" s="22" t="str">
        <f aca="false">IF(AND(B51&lt;&gt;"",$B$6&lt;&gt;""),IF(B51&lt;=$B$6+0.5,1,0),"")</f>
        <v/>
      </c>
      <c r="J51" s="22" t="str">
        <f aca="false">IF(AND(E51&lt;&gt;"",$E$6&lt;&gt;""),IF(E51&lt;=$E$6+0.5,1,0),"")</f>
        <v/>
      </c>
    </row>
    <row r="52" customFormat="false" ht="15" hidden="false" customHeight="false" outlineLevel="0" collapsed="false">
      <c r="A52" s="18" t="n">
        <v>41</v>
      </c>
      <c r="B52" s="13"/>
      <c r="C52" s="13"/>
      <c r="D52" s="24"/>
      <c r="E52" s="13"/>
      <c r="F52" s="13"/>
      <c r="G52" s="24"/>
      <c r="H52" s="12"/>
      <c r="I52" s="22" t="str">
        <f aca="false">IF(AND(B52&lt;&gt;"",$B$6&lt;&gt;""),IF(B52&lt;=$B$6+0.5,1,0),"")</f>
        <v/>
      </c>
      <c r="J52" s="22" t="str">
        <f aca="false">IF(AND(E52&lt;&gt;"",$E$6&lt;&gt;""),IF(E52&lt;=$E$6+0.5,1,0),"")</f>
        <v/>
      </c>
    </row>
    <row r="53" customFormat="false" ht="15" hidden="false" customHeight="false" outlineLevel="0" collapsed="false">
      <c r="A53" s="18" t="n">
        <v>42</v>
      </c>
      <c r="B53" s="13"/>
      <c r="C53" s="13"/>
      <c r="D53" s="24"/>
      <c r="E53" s="13"/>
      <c r="F53" s="13"/>
      <c r="G53" s="24"/>
      <c r="H53" s="12"/>
      <c r="I53" s="22" t="str">
        <f aca="false">IF(AND(B53&lt;&gt;"",$B$6&lt;&gt;""),IF(B53&lt;=$B$6+0.5,1,0),"")</f>
        <v/>
      </c>
      <c r="J53" s="22" t="str">
        <f aca="false">IF(AND(E53&lt;&gt;"",$E$6&lt;&gt;""),IF(E53&lt;=$E$6+0.5,1,0),"")</f>
        <v/>
      </c>
    </row>
    <row r="54" customFormat="false" ht="15" hidden="false" customHeight="false" outlineLevel="0" collapsed="false">
      <c r="A54" s="18" t="n">
        <v>43</v>
      </c>
      <c r="B54" s="13"/>
      <c r="C54" s="13"/>
      <c r="D54" s="24"/>
      <c r="E54" s="13"/>
      <c r="F54" s="13"/>
      <c r="G54" s="24"/>
      <c r="H54" s="12"/>
      <c r="I54" s="22" t="str">
        <f aca="false">IF(AND(B54&lt;&gt;"",$B$6&lt;&gt;""),IF(B54&lt;=$B$6+0.5,1,0),"")</f>
        <v/>
      </c>
      <c r="J54" s="22" t="str">
        <f aca="false">IF(AND(E54&lt;&gt;"",$E$6&lt;&gt;""),IF(E54&lt;=$E$6+0.5,1,0),"")</f>
        <v/>
      </c>
    </row>
    <row r="55" customFormat="false" ht="15" hidden="false" customHeight="false" outlineLevel="0" collapsed="false">
      <c r="A55" s="18" t="n">
        <v>44</v>
      </c>
      <c r="B55" s="13"/>
      <c r="C55" s="13"/>
      <c r="D55" s="24"/>
      <c r="E55" s="13"/>
      <c r="F55" s="13"/>
      <c r="G55" s="24"/>
      <c r="H55" s="12"/>
      <c r="I55" s="22" t="str">
        <f aca="false">IF(AND(B55&lt;&gt;"",$B$6&lt;&gt;""),IF(B55&lt;=$B$6+0.5,1,0),"")</f>
        <v/>
      </c>
      <c r="J55" s="22" t="str">
        <f aca="false">IF(AND(E55&lt;&gt;"",$E$6&lt;&gt;""),IF(E55&lt;=$E$6+0.5,1,0),"")</f>
        <v/>
      </c>
    </row>
    <row r="56" customFormat="false" ht="15" hidden="false" customHeight="false" outlineLevel="0" collapsed="false">
      <c r="A56" s="18" t="n">
        <v>45</v>
      </c>
      <c r="B56" s="13"/>
      <c r="C56" s="13"/>
      <c r="D56" s="24"/>
      <c r="E56" s="13"/>
      <c r="F56" s="13"/>
      <c r="G56" s="24"/>
      <c r="H56" s="12"/>
      <c r="I56" s="22" t="str">
        <f aca="false">IF(AND(B56&lt;&gt;"",$B$6&lt;&gt;""),IF(B56&lt;=$B$6+0.5,1,0),"")</f>
        <v/>
      </c>
      <c r="J56" s="22" t="str">
        <f aca="false">IF(AND(E56&lt;&gt;"",$E$6&lt;&gt;""),IF(E56&lt;=$E$6+0.5,1,0),"")</f>
        <v/>
      </c>
    </row>
    <row r="57" customFormat="false" ht="15" hidden="false" customHeight="false" outlineLevel="0" collapsed="false">
      <c r="A57" s="18" t="n">
        <v>46</v>
      </c>
      <c r="B57" s="13"/>
      <c r="C57" s="13"/>
      <c r="D57" s="24"/>
      <c r="E57" s="13"/>
      <c r="F57" s="13"/>
      <c r="G57" s="24"/>
      <c r="H57" s="12"/>
      <c r="I57" s="22" t="str">
        <f aca="false">IF(AND(B57&lt;&gt;"",$B$6&lt;&gt;""),IF(B57&lt;=$B$6+0.5,1,0),"")</f>
        <v/>
      </c>
      <c r="J57" s="22" t="str">
        <f aca="false">IF(AND(E57&lt;&gt;"",$E$6&lt;&gt;""),IF(E57&lt;=$E$6+0.5,1,0),"")</f>
        <v/>
      </c>
    </row>
    <row r="58" customFormat="false" ht="15" hidden="false" customHeight="false" outlineLevel="0" collapsed="false">
      <c r="A58" s="18" t="n">
        <v>47</v>
      </c>
      <c r="B58" s="13"/>
      <c r="C58" s="13"/>
      <c r="D58" s="24"/>
      <c r="E58" s="13"/>
      <c r="F58" s="13"/>
      <c r="G58" s="24"/>
      <c r="H58" s="12"/>
      <c r="I58" s="22" t="str">
        <f aca="false">IF(AND(B58&lt;&gt;"",$B$6&lt;&gt;""),IF(B58&lt;=$B$6+0.5,1,0),"")</f>
        <v/>
      </c>
      <c r="J58" s="22" t="str">
        <f aca="false">IF(AND(E58&lt;&gt;"",$E$6&lt;&gt;""),IF(E58&lt;=$E$6+0.5,1,0),"")</f>
        <v/>
      </c>
    </row>
    <row r="59" customFormat="false" ht="15" hidden="false" customHeight="false" outlineLevel="0" collapsed="false">
      <c r="A59" s="18" t="n">
        <v>48</v>
      </c>
      <c r="B59" s="13"/>
      <c r="C59" s="13"/>
      <c r="D59" s="24"/>
      <c r="E59" s="13"/>
      <c r="F59" s="13"/>
      <c r="G59" s="24"/>
      <c r="H59" s="12"/>
      <c r="I59" s="22" t="str">
        <f aca="false">IF(AND(B59&lt;&gt;"",$B$6&lt;&gt;""),IF(B59&lt;=$B$6+0.5,1,0),"")</f>
        <v/>
      </c>
      <c r="J59" s="22" t="str">
        <f aca="false">IF(AND(E59&lt;&gt;"",$E$6&lt;&gt;""),IF(E59&lt;=$E$6+0.5,1,0),"")</f>
        <v/>
      </c>
    </row>
    <row r="60" customFormat="false" ht="15" hidden="false" customHeight="false" outlineLevel="0" collapsed="false">
      <c r="A60" s="18" t="n">
        <v>49</v>
      </c>
      <c r="B60" s="13"/>
      <c r="C60" s="13"/>
      <c r="D60" s="24"/>
      <c r="E60" s="13"/>
      <c r="F60" s="13"/>
      <c r="G60" s="24"/>
      <c r="H60" s="12"/>
      <c r="I60" s="22" t="str">
        <f aca="false">IF(AND(B60&lt;&gt;"",$B$6&lt;&gt;""),IF(B60&lt;=$B$6+0.5,1,0),"")</f>
        <v/>
      </c>
      <c r="J60" s="22" t="str">
        <f aca="false">IF(AND(E60&lt;&gt;"",$E$6&lt;&gt;""),IF(E60&lt;=$E$6+0.5,1,0),"")</f>
        <v/>
      </c>
    </row>
    <row r="61" customFormat="false" ht="15" hidden="false" customHeight="false" outlineLevel="0" collapsed="false">
      <c r="A61" s="18" t="n">
        <v>50</v>
      </c>
      <c r="B61" s="13"/>
      <c r="C61" s="13"/>
      <c r="D61" s="24"/>
      <c r="E61" s="13"/>
      <c r="F61" s="13"/>
      <c r="G61" s="24"/>
      <c r="H61" s="12"/>
      <c r="I61" s="22" t="str">
        <f aca="false">IF(AND(B61&lt;&gt;"",$B$6&lt;&gt;""),IF(B61&lt;=$B$6+0.5,1,0),"")</f>
        <v/>
      </c>
      <c r="J61" s="22" t="str">
        <f aca="false">IF(AND(E61&lt;&gt;"",$E$6&lt;&gt;""),IF(E61&lt;=$E$6+0.5,1,0),"")</f>
        <v/>
      </c>
    </row>
    <row r="62" customFormat="false" ht="15" hidden="false" customHeight="false" outlineLevel="0" collapsed="false">
      <c r="A62" s="18" t="n">
        <v>51</v>
      </c>
      <c r="B62" s="13"/>
      <c r="C62" s="13"/>
      <c r="D62" s="24"/>
      <c r="E62" s="13"/>
      <c r="F62" s="13"/>
      <c r="G62" s="24"/>
      <c r="H62" s="12"/>
      <c r="I62" s="22" t="str">
        <f aca="false">IF(AND(B62&lt;&gt;"",$B$6&lt;&gt;""),IF(B62&lt;=$B$6+0.5,1,0),"")</f>
        <v/>
      </c>
      <c r="J62" s="22" t="str">
        <f aca="false">IF(AND(E62&lt;&gt;"",$E$6&lt;&gt;""),IF(E62&lt;=$E$6+0.5,1,0),"")</f>
        <v/>
      </c>
    </row>
    <row r="63" customFormat="false" ht="15" hidden="false" customHeight="false" outlineLevel="0" collapsed="false">
      <c r="A63" s="18" t="n">
        <v>52</v>
      </c>
      <c r="B63" s="13"/>
      <c r="C63" s="13"/>
      <c r="D63" s="24"/>
      <c r="E63" s="13"/>
      <c r="F63" s="13"/>
      <c r="G63" s="24"/>
      <c r="H63" s="12"/>
      <c r="I63" s="22" t="str">
        <f aca="false">IF(AND(B63&lt;&gt;"",$B$6&lt;&gt;""),IF(B63&lt;=$B$6+0.5,1,0),"")</f>
        <v/>
      </c>
      <c r="J63" s="22" t="str">
        <f aca="false">IF(AND(E63&lt;&gt;"",$E$6&lt;&gt;""),IF(E63&lt;=$E$6+0.5,1,0),"")</f>
        <v/>
      </c>
    </row>
    <row r="64" customFormat="false" ht="15" hidden="false" customHeight="false" outlineLevel="0" collapsed="false">
      <c r="A64" s="18" t="n">
        <v>53</v>
      </c>
      <c r="B64" s="13"/>
      <c r="C64" s="13"/>
      <c r="D64" s="24"/>
      <c r="E64" s="13"/>
      <c r="F64" s="13"/>
      <c r="G64" s="24"/>
      <c r="H64" s="12"/>
      <c r="I64" s="22" t="str">
        <f aca="false">IF(AND(B64&lt;&gt;"",$B$6&lt;&gt;""),IF(B64&lt;=$B$6+0.5,1,0),"")</f>
        <v/>
      </c>
      <c r="J64" s="22" t="str">
        <f aca="false">IF(AND(E64&lt;&gt;"",$E$6&lt;&gt;""),IF(E64&lt;=$E$6+0.5,1,0),"")</f>
        <v/>
      </c>
    </row>
    <row r="65" customFormat="false" ht="15" hidden="false" customHeight="false" outlineLevel="0" collapsed="false">
      <c r="A65" s="18" t="n">
        <v>54</v>
      </c>
      <c r="B65" s="13"/>
      <c r="C65" s="13"/>
      <c r="D65" s="24"/>
      <c r="E65" s="13"/>
      <c r="F65" s="13"/>
      <c r="G65" s="24"/>
      <c r="H65" s="12"/>
      <c r="I65" s="22" t="str">
        <f aca="false">IF(AND(B65&lt;&gt;"",$B$6&lt;&gt;""),IF(B65&lt;=$B$6+0.5,1,0),"")</f>
        <v/>
      </c>
      <c r="J65" s="22" t="str">
        <f aca="false">IF(AND(E65&lt;&gt;"",$E$6&lt;&gt;""),IF(E65&lt;=$E$6+0.5,1,0),"")</f>
        <v/>
      </c>
    </row>
    <row r="66" customFormat="false" ht="15" hidden="false" customHeight="false" outlineLevel="0" collapsed="false">
      <c r="A66" s="18" t="n">
        <v>55</v>
      </c>
      <c r="B66" s="13"/>
      <c r="C66" s="13"/>
      <c r="D66" s="24"/>
      <c r="E66" s="13"/>
      <c r="F66" s="13"/>
      <c r="G66" s="24"/>
      <c r="H66" s="12"/>
      <c r="I66" s="22" t="str">
        <f aca="false">IF(AND(B66&lt;&gt;"",$B$6&lt;&gt;""),IF(B66&lt;=$B$6+0.5,1,0),"")</f>
        <v/>
      </c>
      <c r="J66" s="22" t="str">
        <f aca="false">IF(AND(E66&lt;&gt;"",$E$6&lt;&gt;""),IF(E66&lt;=$E$6+0.5,1,0),"")</f>
        <v/>
      </c>
    </row>
    <row r="67" customFormat="false" ht="15" hidden="false" customHeight="false" outlineLevel="0" collapsed="false">
      <c r="A67" s="18" t="n">
        <v>56</v>
      </c>
      <c r="B67" s="13"/>
      <c r="C67" s="13"/>
      <c r="D67" s="24"/>
      <c r="E67" s="13"/>
      <c r="F67" s="13"/>
      <c r="G67" s="24"/>
      <c r="H67" s="12"/>
      <c r="I67" s="22" t="str">
        <f aca="false">IF(AND(B67&lt;&gt;"",$B$6&lt;&gt;""),IF(B67&lt;=$B$6+0.5,1,0),"")</f>
        <v/>
      </c>
      <c r="J67" s="22" t="str">
        <f aca="false">IF(AND(E67&lt;&gt;"",$E$6&lt;&gt;""),IF(E67&lt;=$E$6+0.5,1,0),"")</f>
        <v/>
      </c>
    </row>
    <row r="68" customFormat="false" ht="15" hidden="false" customHeight="false" outlineLevel="0" collapsed="false">
      <c r="A68" s="18" t="n">
        <v>57</v>
      </c>
      <c r="B68" s="13"/>
      <c r="C68" s="13"/>
      <c r="D68" s="24"/>
      <c r="E68" s="13"/>
      <c r="F68" s="13"/>
      <c r="G68" s="24"/>
      <c r="H68" s="12"/>
      <c r="I68" s="22" t="str">
        <f aca="false">IF(AND(B68&lt;&gt;"",$B$6&lt;&gt;""),IF(B68&lt;=$B$6+0.5,1,0),"")</f>
        <v/>
      </c>
      <c r="J68" s="22" t="str">
        <f aca="false">IF(AND(E68&lt;&gt;"",$E$6&lt;&gt;""),IF(E68&lt;=$E$6+0.5,1,0),"")</f>
        <v/>
      </c>
    </row>
    <row r="69" customFormat="false" ht="15" hidden="false" customHeight="false" outlineLevel="0" collapsed="false">
      <c r="A69" s="18" t="n">
        <v>58</v>
      </c>
      <c r="B69" s="13"/>
      <c r="C69" s="13"/>
      <c r="D69" s="24"/>
      <c r="E69" s="13"/>
      <c r="F69" s="13"/>
      <c r="G69" s="24"/>
      <c r="H69" s="12"/>
      <c r="I69" s="22" t="str">
        <f aca="false">IF(AND(B69&lt;&gt;"",$B$6&lt;&gt;""),IF(B69&lt;=$B$6+0.5,1,0),"")</f>
        <v/>
      </c>
      <c r="J69" s="22" t="str">
        <f aca="false">IF(AND(E69&lt;&gt;"",$E$6&lt;&gt;""),IF(E69&lt;=$E$6+0.5,1,0),"")</f>
        <v/>
      </c>
    </row>
    <row r="70" customFormat="false" ht="15" hidden="false" customHeight="false" outlineLevel="0" collapsed="false">
      <c r="A70" s="18" t="n">
        <v>59</v>
      </c>
      <c r="B70" s="13"/>
      <c r="C70" s="13"/>
      <c r="D70" s="24"/>
      <c r="E70" s="13"/>
      <c r="F70" s="13"/>
      <c r="G70" s="24"/>
      <c r="H70" s="12"/>
      <c r="I70" s="22" t="str">
        <f aca="false">IF(AND(B70&lt;&gt;"",$B$6&lt;&gt;""),IF(B70&lt;=$B$6+0.5,1,0),"")</f>
        <v/>
      </c>
      <c r="J70" s="22" t="str">
        <f aca="false">IF(AND(E70&lt;&gt;"",$E$6&lt;&gt;""),IF(E70&lt;=$E$6+0.5,1,0),"")</f>
        <v/>
      </c>
    </row>
  </sheetData>
  <mergeCells count="10"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</mergeCells>
  <dataValidations count="1">
    <dataValidation allowBlank="true" errorStyle="stop" operator="between" showDropDown="false" showErrorMessage="false" showInputMessage="false" sqref="B7" type="list">
      <formula1>"尽快,按速率,按时长"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2" min="12" style="0" width="34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10" t="s">
        <v>24</v>
      </c>
      <c r="B4" s="11"/>
      <c r="C4" s="11"/>
      <c r="D4" s="10" t="s">
        <v>25</v>
      </c>
      <c r="E4" s="12"/>
      <c r="F4" s="12"/>
    </row>
    <row r="5" customFormat="false" ht="29.85" hidden="false" customHeight="false" outlineLevel="0" collapsed="false">
      <c r="A5" s="10" t="s">
        <v>26</v>
      </c>
      <c r="B5" s="13" t="n">
        <v>25</v>
      </c>
      <c r="C5" s="13"/>
      <c r="D5" s="10" t="s">
        <v>62</v>
      </c>
      <c r="E5" s="13" t="n">
        <v>90</v>
      </c>
      <c r="F5" s="13"/>
    </row>
    <row r="6" customFormat="false" ht="15" hidden="false" customHeight="false" outlineLevel="0" collapsed="false">
      <c r="A6" s="10" t="s">
        <v>28</v>
      </c>
      <c r="B6" s="13" t="n">
        <v>150</v>
      </c>
      <c r="C6" s="13"/>
      <c r="D6" s="10" t="s">
        <v>29</v>
      </c>
      <c r="E6" s="13" t="n">
        <v>150</v>
      </c>
      <c r="F6" s="13"/>
    </row>
    <row r="7" customFormat="false" ht="15" hidden="false" customHeight="true" outlineLevel="0" collapsed="false">
      <c r="A7" s="10" t="s">
        <v>30</v>
      </c>
      <c r="B7" s="14" t="s">
        <v>31</v>
      </c>
      <c r="C7" s="14"/>
      <c r="D7" s="10" t="s">
        <v>63</v>
      </c>
      <c r="E7" s="13" t="n">
        <v>180</v>
      </c>
      <c r="F7" s="13"/>
    </row>
    <row r="8" customFormat="false" ht="29.85" hidden="false" customHeight="false" outlineLevel="0" collapsed="false">
      <c r="A8" s="15" t="s">
        <v>64</v>
      </c>
      <c r="B8" s="18" t="n">
        <v>0</v>
      </c>
      <c r="C8" s="18"/>
      <c r="D8" s="15" t="s">
        <v>65</v>
      </c>
      <c r="E8" s="18" t="n">
        <v>0</v>
      </c>
      <c r="F8" s="18"/>
    </row>
    <row r="9" customFormat="false" ht="15" hidden="false" customHeight="true" outlineLevel="0" collapsed="false">
      <c r="A9" s="10" t="s">
        <v>33</v>
      </c>
      <c r="B9" s="12" t="s">
        <v>34</v>
      </c>
      <c r="C9" s="12"/>
      <c r="D9" s="10" t="s">
        <v>35</v>
      </c>
      <c r="E9" s="12"/>
      <c r="F9" s="12"/>
    </row>
    <row r="11" customFormat="false" ht="15" hidden="false" customHeight="false" outlineLevel="0" collapsed="false">
      <c r="A11" s="16" t="s">
        <v>36</v>
      </c>
      <c r="B11" s="17" t="s">
        <v>37</v>
      </c>
      <c r="C11" s="17" t="s">
        <v>38</v>
      </c>
      <c r="D11" s="17" t="s">
        <v>39</v>
      </c>
      <c r="E11" s="17" t="s">
        <v>40</v>
      </c>
      <c r="F11" s="17" t="s">
        <v>41</v>
      </c>
      <c r="G11" s="17" t="s">
        <v>42</v>
      </c>
      <c r="H11" s="16" t="s">
        <v>35</v>
      </c>
      <c r="I11" s="17" t="s">
        <v>43</v>
      </c>
      <c r="J11" s="17" t="s">
        <v>44</v>
      </c>
      <c r="L11" s="16" t="s">
        <v>45</v>
      </c>
      <c r="M11" s="16" t="s">
        <v>46</v>
      </c>
    </row>
    <row r="12" customFormat="false" ht="15" hidden="false" customHeight="false" outlineLevel="0" collapsed="false">
      <c r="A12" s="18" t="n">
        <v>0</v>
      </c>
      <c r="B12" s="19" t="n">
        <v>24</v>
      </c>
      <c r="C12" s="19" t="n">
        <v>90</v>
      </c>
      <c r="D12" s="20" t="n">
        <v>3.8</v>
      </c>
      <c r="E12" s="19" t="n">
        <v>24.1</v>
      </c>
      <c r="F12" s="19" t="n">
        <v>90</v>
      </c>
      <c r="G12" s="20" t="n">
        <v>3.9</v>
      </c>
      <c r="H12" s="21" t="s">
        <v>47</v>
      </c>
      <c r="I12" s="22" t="n">
        <f aca="false">IF(AND(B12&lt;&gt;"",$B$6&lt;&gt;""),IF(B12&gt;=$B$6-0.5,1,0),"")</f>
        <v>0</v>
      </c>
      <c r="J12" s="22" t="n">
        <f aca="false">IF(AND(E12&lt;&gt;"",$E$6&lt;&gt;""),IF(E12&gt;=$E$6-0.5,1,0),"")</f>
        <v>0</v>
      </c>
      <c r="L12" s="15" t="s">
        <v>66</v>
      </c>
      <c r="M12" s="23" t="n">
        <f aca="false">IF(COUNT(B12:B71)=0,"",MAX(B12:B71))</f>
        <v>24</v>
      </c>
    </row>
    <row r="13" customFormat="false" ht="15" hidden="false" customHeight="false" outlineLevel="0" collapsed="false">
      <c r="A13" s="18" t="n">
        <v>1</v>
      </c>
      <c r="B13" s="13"/>
      <c r="C13" s="13"/>
      <c r="D13" s="24"/>
      <c r="E13" s="13"/>
      <c r="F13" s="13"/>
      <c r="G13" s="24"/>
      <c r="H13" s="12"/>
      <c r="I13" s="22" t="str">
        <f aca="false">IF(AND(B13&lt;&gt;"",$B$6&lt;&gt;""),IF(B13&gt;=$B$6-0.5,1,0),"")</f>
        <v/>
      </c>
      <c r="J13" s="22" t="str">
        <f aca="false">IF(AND(E13&lt;&gt;"",$E$6&lt;&gt;""),IF(E13&gt;=$E$6-0.5,1,0),"")</f>
        <v/>
      </c>
      <c r="L13" s="15" t="s">
        <v>67</v>
      </c>
      <c r="M13" s="22" t="str">
        <f aca="false">IFERROR(INDEX($A$12:$A$71,MATCH(1,I12:I71,0)),"未到")</f>
        <v>未到</v>
      </c>
    </row>
    <row r="14" customFormat="false" ht="15" hidden="false" customHeight="false" outlineLevel="0" collapsed="false">
      <c r="A14" s="18" t="n">
        <v>2</v>
      </c>
      <c r="B14" s="13"/>
      <c r="C14" s="13"/>
      <c r="D14" s="24"/>
      <c r="E14" s="13"/>
      <c r="F14" s="13"/>
      <c r="G14" s="24"/>
      <c r="H14" s="12"/>
      <c r="I14" s="22" t="str">
        <f aca="false">IF(AND(B14&lt;&gt;"",$B$6&lt;&gt;""),IF(B14&gt;=$B$6-0.5,1,0),"")</f>
        <v/>
      </c>
      <c r="J14" s="22" t="str">
        <f aca="false">IF(AND(E14&lt;&gt;"",$E$6&lt;&gt;""),IF(E14&gt;=$E$6-0.5,1,0),"")</f>
        <v/>
      </c>
      <c r="L14" s="15" t="s">
        <v>68</v>
      </c>
      <c r="M14" s="23" t="n">
        <f aca="false">IF(OR(M12="",$B$6=""),"",MAX(0,M12-$B$6))</f>
        <v>0</v>
      </c>
    </row>
    <row r="15" customFormat="false" ht="15" hidden="false" customHeight="false" outlineLevel="0" collapsed="false">
      <c r="A15" s="18" t="n">
        <v>3</v>
      </c>
      <c r="B15" s="13"/>
      <c r="C15" s="13"/>
      <c r="D15" s="24"/>
      <c r="E15" s="13"/>
      <c r="F15" s="13"/>
      <c r="G15" s="24"/>
      <c r="H15" s="12"/>
      <c r="I15" s="22" t="str">
        <f aca="false">IF(AND(B15&lt;&gt;"",$B$6&lt;&gt;""),IF(B15&gt;=$B$6-0.5,1,0),"")</f>
        <v/>
      </c>
      <c r="J15" s="22" t="str">
        <f aca="false">IF(AND(E15&lt;&gt;"",$E$6&lt;&gt;""),IF(E15&gt;=$E$6-0.5,1,0),"")</f>
        <v/>
      </c>
      <c r="L15" s="15" t="s">
        <v>69</v>
      </c>
      <c r="M15" s="25" t="str">
        <f aca="false">IF(OR(B12="",B22="",A22=A12),"",(B22-B12)/(A22-A12))</f>
        <v/>
      </c>
    </row>
    <row r="16" customFormat="false" ht="15" hidden="false" customHeight="false" outlineLevel="0" collapsed="false">
      <c r="A16" s="18" t="n">
        <v>4</v>
      </c>
      <c r="B16" s="13"/>
      <c r="C16" s="13"/>
      <c r="D16" s="24"/>
      <c r="E16" s="13"/>
      <c r="F16" s="13"/>
      <c r="G16" s="24"/>
      <c r="H16" s="12"/>
      <c r="I16" s="22" t="str">
        <f aca="false">IF(AND(B16&lt;&gt;"",$B$6&lt;&gt;""),IF(B16&gt;=$B$6-0.5,1,0),"")</f>
        <v/>
      </c>
      <c r="J16" s="22" t="str">
        <f aca="false">IF(AND(E16&lt;&gt;"",$E$6&lt;&gt;""),IF(E16&gt;=$E$6-0.5,1,0),"")</f>
        <v/>
      </c>
      <c r="L16" s="15" t="s">
        <v>52</v>
      </c>
      <c r="M16" s="23" t="n">
        <f aca="false">IF(COUNT(C12:C71)=0,"",AVERAGE(C12:C71))</f>
        <v>90</v>
      </c>
    </row>
    <row r="17" customFormat="false" ht="15" hidden="false" customHeight="false" outlineLevel="0" collapsed="false">
      <c r="A17" s="18" t="n">
        <v>5</v>
      </c>
      <c r="B17" s="13"/>
      <c r="C17" s="13"/>
      <c r="D17" s="24"/>
      <c r="E17" s="13"/>
      <c r="F17" s="13"/>
      <c r="G17" s="24"/>
      <c r="H17" s="12"/>
      <c r="I17" s="22" t="str">
        <f aca="false">IF(AND(B17&lt;&gt;"",$B$6&lt;&gt;""),IF(B17&gt;=$B$6-0.5,1,0),"")</f>
        <v/>
      </c>
      <c r="J17" s="22" t="str">
        <f aca="false">IF(AND(E17&lt;&gt;"",$E$6&lt;&gt;""),IF(E17&gt;=$E$6-0.5,1,0),"")</f>
        <v/>
      </c>
      <c r="L17" s="15" t="s">
        <v>53</v>
      </c>
      <c r="M17" s="26" t="n">
        <f aca="false">IF(COUNT(D12:D71)=0,"",MAX(D12:D71))</f>
        <v>3.8</v>
      </c>
    </row>
    <row r="18" customFormat="false" ht="15" hidden="false" customHeight="false" outlineLevel="0" collapsed="false">
      <c r="A18" s="18" t="n">
        <v>6</v>
      </c>
      <c r="B18" s="13"/>
      <c r="C18" s="13"/>
      <c r="D18" s="24"/>
      <c r="E18" s="13"/>
      <c r="F18" s="13"/>
      <c r="G18" s="24"/>
      <c r="H18" s="12"/>
      <c r="I18" s="22" t="str">
        <f aca="false">IF(AND(B18&lt;&gt;"",$B$6&lt;&gt;""),IF(B18&gt;=$B$6-0.5,1,0),"")</f>
        <v/>
      </c>
      <c r="J18" s="22" t="str">
        <f aca="false">IF(AND(E18&lt;&gt;"",$E$6&lt;&gt;""),IF(E18&gt;=$E$6-0.5,1,0),"")</f>
        <v/>
      </c>
    </row>
    <row r="19" customFormat="false" ht="15" hidden="false" customHeight="false" outlineLevel="0" collapsed="false">
      <c r="A19" s="18" t="n">
        <v>7</v>
      </c>
      <c r="B19" s="13"/>
      <c r="C19" s="13"/>
      <c r="D19" s="24"/>
      <c r="E19" s="13"/>
      <c r="F19" s="13"/>
      <c r="G19" s="24"/>
      <c r="H19" s="12"/>
      <c r="I19" s="22" t="str">
        <f aca="false">IF(AND(B19&lt;&gt;"",$B$6&lt;&gt;""),IF(B19&gt;=$B$6-0.5,1,0),"")</f>
        <v/>
      </c>
      <c r="J19" s="22" t="str">
        <f aca="false">IF(AND(E19&lt;&gt;"",$E$6&lt;&gt;""),IF(E19&gt;=$E$6-0.5,1,0),"")</f>
        <v/>
      </c>
      <c r="L19" s="15" t="s">
        <v>70</v>
      </c>
      <c r="M19" s="23" t="n">
        <f aca="false">IF(COUNT(E12:E71)=0,"",MAX(E12:E71))</f>
        <v>24.1</v>
      </c>
    </row>
    <row r="20" customFormat="false" ht="15" hidden="false" customHeight="false" outlineLevel="0" collapsed="false">
      <c r="A20" s="18" t="n">
        <v>8</v>
      </c>
      <c r="B20" s="13"/>
      <c r="C20" s="13"/>
      <c r="D20" s="24"/>
      <c r="E20" s="13"/>
      <c r="F20" s="13"/>
      <c r="G20" s="24"/>
      <c r="H20" s="12"/>
      <c r="I20" s="22" t="str">
        <f aca="false">IF(AND(B20&lt;&gt;"",$B$6&lt;&gt;""),IF(B20&gt;=$B$6-0.5,1,0),"")</f>
        <v/>
      </c>
      <c r="J20" s="22" t="str">
        <f aca="false">IF(AND(E20&lt;&gt;"",$E$6&lt;&gt;""),IF(E20&gt;=$E$6-0.5,1,0),"")</f>
        <v/>
      </c>
      <c r="L20" s="15" t="s">
        <v>71</v>
      </c>
      <c r="M20" s="22" t="str">
        <f aca="false">IFERROR(INDEX($A$12:$A$71,MATCH(1,J12:J71,0)),"未到")</f>
        <v>未到</v>
      </c>
    </row>
    <row r="21" customFormat="false" ht="15" hidden="false" customHeight="false" outlineLevel="0" collapsed="false">
      <c r="A21" s="18" t="n">
        <v>9</v>
      </c>
      <c r="B21" s="13"/>
      <c r="C21" s="13"/>
      <c r="D21" s="24"/>
      <c r="E21" s="13"/>
      <c r="F21" s="13"/>
      <c r="G21" s="24"/>
      <c r="H21" s="12"/>
      <c r="I21" s="22" t="str">
        <f aca="false">IF(AND(B21&lt;&gt;"",$B$6&lt;&gt;""),IF(B21&gt;=$B$6-0.5,1,0),"")</f>
        <v/>
      </c>
      <c r="J21" s="22" t="str">
        <f aca="false">IF(AND(E21&lt;&gt;"",$E$6&lt;&gt;""),IF(E21&gt;=$E$6-0.5,1,0),"")</f>
        <v/>
      </c>
      <c r="L21" s="15" t="s">
        <v>72</v>
      </c>
      <c r="M21" s="23" t="n">
        <f aca="false">IF(OR(M19="",$E$6=""),"",MAX(0,M19-$E$6))</f>
        <v>0</v>
      </c>
    </row>
    <row r="22" customFormat="false" ht="15" hidden="false" customHeight="false" outlineLevel="0" collapsed="false">
      <c r="A22" s="18" t="n">
        <v>10</v>
      </c>
      <c r="B22" s="13"/>
      <c r="C22" s="13"/>
      <c r="D22" s="24"/>
      <c r="E22" s="13"/>
      <c r="F22" s="13"/>
      <c r="G22" s="24"/>
      <c r="H22" s="12"/>
      <c r="I22" s="22" t="str">
        <f aca="false">IF(AND(B22&lt;&gt;"",$B$6&lt;&gt;""),IF(B22&gt;=$B$6-0.5,1,0),"")</f>
        <v/>
      </c>
      <c r="J22" s="22" t="str">
        <f aca="false">IF(AND(E22&lt;&gt;"",$E$6&lt;&gt;""),IF(E22&gt;=$E$6-0.5,1,0),"")</f>
        <v/>
      </c>
      <c r="L22" s="15" t="s">
        <v>73</v>
      </c>
      <c r="M22" s="25" t="str">
        <f aca="false">IF(OR(E12="",E22="",A22=A12),"",(E22-E12)/(A22-A12))</f>
        <v/>
      </c>
    </row>
    <row r="23" customFormat="false" ht="15" hidden="false" customHeight="false" outlineLevel="0" collapsed="false">
      <c r="A23" s="18" t="n">
        <v>11</v>
      </c>
      <c r="B23" s="13"/>
      <c r="C23" s="13"/>
      <c r="D23" s="24"/>
      <c r="E23" s="13"/>
      <c r="F23" s="13"/>
      <c r="G23" s="24"/>
      <c r="H23" s="12"/>
      <c r="I23" s="22" t="str">
        <f aca="false">IF(AND(B23&lt;&gt;"",$B$6&lt;&gt;""),IF(B23&gt;=$B$6-0.5,1,0),"")</f>
        <v/>
      </c>
      <c r="J23" s="22" t="str">
        <f aca="false">IF(AND(E23&lt;&gt;"",$E$6&lt;&gt;""),IF(E23&gt;=$E$6-0.5,1,0),"")</f>
        <v/>
      </c>
      <c r="L23" s="15" t="s">
        <v>58</v>
      </c>
      <c r="M23" s="23" t="n">
        <f aca="false">IF(COUNT(F12:F71)=0,"",AVERAGE(F12:F71))</f>
        <v>90</v>
      </c>
    </row>
    <row r="24" customFormat="false" ht="15" hidden="false" customHeight="false" outlineLevel="0" collapsed="false">
      <c r="A24" s="18" t="n">
        <v>12</v>
      </c>
      <c r="B24" s="13"/>
      <c r="C24" s="13"/>
      <c r="D24" s="24"/>
      <c r="E24" s="13"/>
      <c r="F24" s="13"/>
      <c r="G24" s="24"/>
      <c r="H24" s="12"/>
      <c r="I24" s="22" t="str">
        <f aca="false">IF(AND(B24&lt;&gt;"",$B$6&lt;&gt;""),IF(B24&gt;=$B$6-0.5,1,0),"")</f>
        <v/>
      </c>
      <c r="J24" s="22" t="str">
        <f aca="false">IF(AND(E24&lt;&gt;"",$E$6&lt;&gt;""),IF(E24&gt;=$E$6-0.5,1,0),"")</f>
        <v/>
      </c>
      <c r="L24" s="15" t="s">
        <v>59</v>
      </c>
      <c r="M24" s="26" t="n">
        <f aca="false">IF(COUNT(G12:G71)=0,"",MAX(G12:G71))</f>
        <v>3.9</v>
      </c>
    </row>
    <row r="25" customFormat="false" ht="15" hidden="false" customHeight="false" outlineLevel="0" collapsed="false">
      <c r="A25" s="18" t="n">
        <v>13</v>
      </c>
      <c r="B25" s="13"/>
      <c r="C25" s="13"/>
      <c r="D25" s="24"/>
      <c r="E25" s="13"/>
      <c r="F25" s="13"/>
      <c r="G25" s="24"/>
      <c r="H25" s="12"/>
      <c r="I25" s="22" t="str">
        <f aca="false">IF(AND(B25&lt;&gt;"",$B$6&lt;&gt;""),IF(B25&gt;=$B$6-0.5,1,0),"")</f>
        <v/>
      </c>
      <c r="J25" s="22" t="str">
        <f aca="false">IF(AND(E25&lt;&gt;"",$E$6&lt;&gt;""),IF(E25&gt;=$E$6-0.5,1,0),"")</f>
        <v/>
      </c>
    </row>
    <row r="26" customFormat="false" ht="15" hidden="false" customHeight="false" outlineLevel="0" collapsed="false">
      <c r="A26" s="18" t="n">
        <v>14</v>
      </c>
      <c r="B26" s="13"/>
      <c r="C26" s="13"/>
      <c r="D26" s="24"/>
      <c r="E26" s="13"/>
      <c r="F26" s="13"/>
      <c r="G26" s="24"/>
      <c r="H26" s="12"/>
      <c r="I26" s="22" t="str">
        <f aca="false">IF(AND(B26&lt;&gt;"",$B$6&lt;&gt;""),IF(B26&gt;=$B$6-0.5,1,0),"")</f>
        <v/>
      </c>
      <c r="J26" s="22" t="str">
        <f aca="false">IF(AND(E26&lt;&gt;"",$E$6&lt;&gt;""),IF(E26&gt;=$E$6-0.5,1,0),"")</f>
        <v/>
      </c>
    </row>
    <row r="27" customFormat="false" ht="15" hidden="false" customHeight="false" outlineLevel="0" collapsed="false">
      <c r="A27" s="18" t="n">
        <v>15</v>
      </c>
      <c r="B27" s="13"/>
      <c r="C27" s="13"/>
      <c r="D27" s="24"/>
      <c r="E27" s="13"/>
      <c r="F27" s="13"/>
      <c r="G27" s="24"/>
      <c r="H27" s="12"/>
      <c r="I27" s="22" t="str">
        <f aca="false">IF(AND(B27&lt;&gt;"",$B$6&lt;&gt;""),IF(B27&gt;=$B$6-0.5,1,0),"")</f>
        <v/>
      </c>
      <c r="J27" s="22" t="str">
        <f aca="false">IF(AND(E27&lt;&gt;"",$E$6&lt;&gt;""),IF(E27&gt;=$E$6-0.5,1,0),"")</f>
        <v/>
      </c>
    </row>
    <row r="28" customFormat="false" ht="15" hidden="false" customHeight="false" outlineLevel="0" collapsed="false">
      <c r="A28" s="18" t="n">
        <v>16</v>
      </c>
      <c r="B28" s="13"/>
      <c r="C28" s="13"/>
      <c r="D28" s="24"/>
      <c r="E28" s="13"/>
      <c r="F28" s="13"/>
      <c r="G28" s="24"/>
      <c r="H28" s="12"/>
      <c r="I28" s="22" t="str">
        <f aca="false">IF(AND(B28&lt;&gt;"",$B$6&lt;&gt;""),IF(B28&gt;=$B$6-0.5,1,0),"")</f>
        <v/>
      </c>
      <c r="J28" s="22" t="str">
        <f aca="false">IF(AND(E28&lt;&gt;"",$E$6&lt;&gt;""),IF(E28&gt;=$E$6-0.5,1,0),"")</f>
        <v/>
      </c>
    </row>
    <row r="29" customFormat="false" ht="15" hidden="false" customHeight="false" outlineLevel="0" collapsed="false">
      <c r="A29" s="18" t="n">
        <v>17</v>
      </c>
      <c r="B29" s="13"/>
      <c r="C29" s="13"/>
      <c r="D29" s="24"/>
      <c r="E29" s="13"/>
      <c r="F29" s="13"/>
      <c r="G29" s="24"/>
      <c r="H29" s="12"/>
      <c r="I29" s="22" t="str">
        <f aca="false">IF(AND(B29&lt;&gt;"",$B$6&lt;&gt;""),IF(B29&gt;=$B$6-0.5,1,0),"")</f>
        <v/>
      </c>
      <c r="J29" s="22" t="str">
        <f aca="false">IF(AND(E29&lt;&gt;"",$E$6&lt;&gt;""),IF(E29&gt;=$E$6-0.5,1,0),"")</f>
        <v/>
      </c>
    </row>
    <row r="30" customFormat="false" ht="15" hidden="false" customHeight="false" outlineLevel="0" collapsed="false">
      <c r="A30" s="18" t="n">
        <v>18</v>
      </c>
      <c r="B30" s="13"/>
      <c r="C30" s="13"/>
      <c r="D30" s="24"/>
      <c r="E30" s="13"/>
      <c r="F30" s="13"/>
      <c r="G30" s="24"/>
      <c r="H30" s="12"/>
      <c r="I30" s="22" t="str">
        <f aca="false">IF(AND(B30&lt;&gt;"",$B$6&lt;&gt;""),IF(B30&gt;=$B$6-0.5,1,0),"")</f>
        <v/>
      </c>
      <c r="J30" s="22" t="str">
        <f aca="false">IF(AND(E30&lt;&gt;"",$E$6&lt;&gt;""),IF(E30&gt;=$E$6-0.5,1,0),"")</f>
        <v/>
      </c>
    </row>
    <row r="31" customFormat="false" ht="15" hidden="false" customHeight="false" outlineLevel="0" collapsed="false">
      <c r="A31" s="18" t="n">
        <v>19</v>
      </c>
      <c r="B31" s="13"/>
      <c r="C31" s="13"/>
      <c r="D31" s="24"/>
      <c r="E31" s="13"/>
      <c r="F31" s="13"/>
      <c r="G31" s="24"/>
      <c r="H31" s="12"/>
      <c r="I31" s="22" t="str">
        <f aca="false">IF(AND(B31&lt;&gt;"",$B$6&lt;&gt;""),IF(B31&gt;=$B$6-0.5,1,0),"")</f>
        <v/>
      </c>
      <c r="J31" s="22" t="str">
        <f aca="false">IF(AND(E31&lt;&gt;"",$E$6&lt;&gt;""),IF(E31&gt;=$E$6-0.5,1,0),"")</f>
        <v/>
      </c>
    </row>
    <row r="32" customFormat="false" ht="15" hidden="false" customHeight="false" outlineLevel="0" collapsed="false">
      <c r="A32" s="18" t="n">
        <v>20</v>
      </c>
      <c r="B32" s="13"/>
      <c r="C32" s="13"/>
      <c r="D32" s="24"/>
      <c r="E32" s="13"/>
      <c r="F32" s="13"/>
      <c r="G32" s="24"/>
      <c r="H32" s="12"/>
      <c r="I32" s="22" t="str">
        <f aca="false">IF(AND(B32&lt;&gt;"",$B$6&lt;&gt;""),IF(B32&gt;=$B$6-0.5,1,0),"")</f>
        <v/>
      </c>
      <c r="J32" s="22" t="str">
        <f aca="false">IF(AND(E32&lt;&gt;"",$E$6&lt;&gt;""),IF(E32&gt;=$E$6-0.5,1,0),"")</f>
        <v/>
      </c>
    </row>
    <row r="33" customFormat="false" ht="15" hidden="false" customHeight="false" outlineLevel="0" collapsed="false">
      <c r="A33" s="18" t="n">
        <v>21</v>
      </c>
      <c r="B33" s="13"/>
      <c r="C33" s="13"/>
      <c r="D33" s="24"/>
      <c r="E33" s="13"/>
      <c r="F33" s="13"/>
      <c r="G33" s="24"/>
      <c r="H33" s="12"/>
      <c r="I33" s="22" t="str">
        <f aca="false">IF(AND(B33&lt;&gt;"",$B$6&lt;&gt;""),IF(B33&gt;=$B$6-0.5,1,0),"")</f>
        <v/>
      </c>
      <c r="J33" s="22" t="str">
        <f aca="false">IF(AND(E33&lt;&gt;"",$E$6&lt;&gt;""),IF(E33&gt;=$E$6-0.5,1,0),"")</f>
        <v/>
      </c>
    </row>
    <row r="34" customFormat="false" ht="15" hidden="false" customHeight="false" outlineLevel="0" collapsed="false">
      <c r="A34" s="18" t="n">
        <v>22</v>
      </c>
      <c r="B34" s="13"/>
      <c r="C34" s="13"/>
      <c r="D34" s="24"/>
      <c r="E34" s="13"/>
      <c r="F34" s="13"/>
      <c r="G34" s="24"/>
      <c r="H34" s="12"/>
      <c r="I34" s="22" t="str">
        <f aca="false">IF(AND(B34&lt;&gt;"",$B$6&lt;&gt;""),IF(B34&gt;=$B$6-0.5,1,0),"")</f>
        <v/>
      </c>
      <c r="J34" s="22" t="str">
        <f aca="false">IF(AND(E34&lt;&gt;"",$E$6&lt;&gt;""),IF(E34&gt;=$E$6-0.5,1,0),"")</f>
        <v/>
      </c>
    </row>
    <row r="35" customFormat="false" ht="15" hidden="false" customHeight="false" outlineLevel="0" collapsed="false">
      <c r="A35" s="18" t="n">
        <v>23</v>
      </c>
      <c r="B35" s="13"/>
      <c r="C35" s="13"/>
      <c r="D35" s="24"/>
      <c r="E35" s="13"/>
      <c r="F35" s="13"/>
      <c r="G35" s="24"/>
      <c r="H35" s="12"/>
      <c r="I35" s="22" t="str">
        <f aca="false">IF(AND(B35&lt;&gt;"",$B$6&lt;&gt;""),IF(B35&gt;=$B$6-0.5,1,0),"")</f>
        <v/>
      </c>
      <c r="J35" s="22" t="str">
        <f aca="false">IF(AND(E35&lt;&gt;"",$E$6&lt;&gt;""),IF(E35&gt;=$E$6-0.5,1,0),"")</f>
        <v/>
      </c>
    </row>
    <row r="36" customFormat="false" ht="15" hidden="false" customHeight="false" outlineLevel="0" collapsed="false">
      <c r="A36" s="18" t="n">
        <v>24</v>
      </c>
      <c r="B36" s="13"/>
      <c r="C36" s="13"/>
      <c r="D36" s="24"/>
      <c r="E36" s="13"/>
      <c r="F36" s="13"/>
      <c r="G36" s="24"/>
      <c r="H36" s="12"/>
      <c r="I36" s="22" t="str">
        <f aca="false">IF(AND(B36&lt;&gt;"",$B$6&lt;&gt;""),IF(B36&gt;=$B$6-0.5,1,0),"")</f>
        <v/>
      </c>
      <c r="J36" s="22" t="str">
        <f aca="false">IF(AND(E36&lt;&gt;"",$E$6&lt;&gt;""),IF(E36&gt;=$E$6-0.5,1,0),"")</f>
        <v/>
      </c>
    </row>
    <row r="37" customFormat="false" ht="15" hidden="false" customHeight="false" outlineLevel="0" collapsed="false">
      <c r="A37" s="18" t="n">
        <v>25</v>
      </c>
      <c r="B37" s="13"/>
      <c r="C37" s="13"/>
      <c r="D37" s="24"/>
      <c r="E37" s="13"/>
      <c r="F37" s="13"/>
      <c r="G37" s="24"/>
      <c r="H37" s="12"/>
      <c r="I37" s="22" t="str">
        <f aca="false">IF(AND(B37&lt;&gt;"",$B$6&lt;&gt;""),IF(B37&gt;=$B$6-0.5,1,0),"")</f>
        <v/>
      </c>
      <c r="J37" s="22" t="str">
        <f aca="false">IF(AND(E37&lt;&gt;"",$E$6&lt;&gt;""),IF(E37&gt;=$E$6-0.5,1,0),"")</f>
        <v/>
      </c>
    </row>
    <row r="38" customFormat="false" ht="15" hidden="false" customHeight="false" outlineLevel="0" collapsed="false">
      <c r="A38" s="18" t="n">
        <v>26</v>
      </c>
      <c r="B38" s="13"/>
      <c r="C38" s="13"/>
      <c r="D38" s="24"/>
      <c r="E38" s="13"/>
      <c r="F38" s="13"/>
      <c r="G38" s="24"/>
      <c r="H38" s="12"/>
      <c r="I38" s="22" t="str">
        <f aca="false">IF(AND(B38&lt;&gt;"",$B$6&lt;&gt;""),IF(B38&gt;=$B$6-0.5,1,0),"")</f>
        <v/>
      </c>
      <c r="J38" s="22" t="str">
        <f aca="false">IF(AND(E38&lt;&gt;"",$E$6&lt;&gt;""),IF(E38&gt;=$E$6-0.5,1,0),"")</f>
        <v/>
      </c>
    </row>
    <row r="39" customFormat="false" ht="15" hidden="false" customHeight="false" outlineLevel="0" collapsed="false">
      <c r="A39" s="18" t="n">
        <v>27</v>
      </c>
      <c r="B39" s="13"/>
      <c r="C39" s="13"/>
      <c r="D39" s="24"/>
      <c r="E39" s="13"/>
      <c r="F39" s="13"/>
      <c r="G39" s="24"/>
      <c r="H39" s="12"/>
      <c r="I39" s="22" t="str">
        <f aca="false">IF(AND(B39&lt;&gt;"",$B$6&lt;&gt;""),IF(B39&gt;=$B$6-0.5,1,0),"")</f>
        <v/>
      </c>
      <c r="J39" s="22" t="str">
        <f aca="false">IF(AND(E39&lt;&gt;"",$E$6&lt;&gt;""),IF(E39&gt;=$E$6-0.5,1,0),"")</f>
        <v/>
      </c>
    </row>
    <row r="40" customFormat="false" ht="15" hidden="false" customHeight="false" outlineLevel="0" collapsed="false">
      <c r="A40" s="18" t="n">
        <v>28</v>
      </c>
      <c r="B40" s="13"/>
      <c r="C40" s="13"/>
      <c r="D40" s="24"/>
      <c r="E40" s="13"/>
      <c r="F40" s="13"/>
      <c r="G40" s="24"/>
      <c r="H40" s="12"/>
      <c r="I40" s="22" t="str">
        <f aca="false">IF(AND(B40&lt;&gt;"",$B$6&lt;&gt;""),IF(B40&gt;=$B$6-0.5,1,0),"")</f>
        <v/>
      </c>
      <c r="J40" s="22" t="str">
        <f aca="false">IF(AND(E40&lt;&gt;"",$E$6&lt;&gt;""),IF(E40&gt;=$E$6-0.5,1,0),"")</f>
        <v/>
      </c>
    </row>
    <row r="41" customFormat="false" ht="15" hidden="false" customHeight="false" outlineLevel="0" collapsed="false">
      <c r="A41" s="18" t="n">
        <v>29</v>
      </c>
      <c r="B41" s="13"/>
      <c r="C41" s="13"/>
      <c r="D41" s="24"/>
      <c r="E41" s="13"/>
      <c r="F41" s="13"/>
      <c r="G41" s="24"/>
      <c r="H41" s="12"/>
      <c r="I41" s="22" t="str">
        <f aca="false">IF(AND(B41&lt;&gt;"",$B$6&lt;&gt;""),IF(B41&gt;=$B$6-0.5,1,0),"")</f>
        <v/>
      </c>
      <c r="J41" s="22" t="str">
        <f aca="false">IF(AND(E41&lt;&gt;"",$E$6&lt;&gt;""),IF(E41&gt;=$E$6-0.5,1,0),"")</f>
        <v/>
      </c>
    </row>
    <row r="42" customFormat="false" ht="15" hidden="false" customHeight="false" outlineLevel="0" collapsed="false">
      <c r="A42" s="18" t="n">
        <v>30</v>
      </c>
      <c r="B42" s="13"/>
      <c r="C42" s="13"/>
      <c r="D42" s="24"/>
      <c r="E42" s="13"/>
      <c r="F42" s="13"/>
      <c r="G42" s="24"/>
      <c r="H42" s="12"/>
      <c r="I42" s="22" t="str">
        <f aca="false">IF(AND(B42&lt;&gt;"",$B$6&lt;&gt;""),IF(B42&gt;=$B$6-0.5,1,0),"")</f>
        <v/>
      </c>
      <c r="J42" s="22" t="str">
        <f aca="false">IF(AND(E42&lt;&gt;"",$E$6&lt;&gt;""),IF(E42&gt;=$E$6-0.5,1,0),"")</f>
        <v/>
      </c>
    </row>
    <row r="43" customFormat="false" ht="15" hidden="false" customHeight="false" outlineLevel="0" collapsed="false">
      <c r="A43" s="18" t="n">
        <v>31</v>
      </c>
      <c r="B43" s="13"/>
      <c r="C43" s="13"/>
      <c r="D43" s="24"/>
      <c r="E43" s="13"/>
      <c r="F43" s="13"/>
      <c r="G43" s="24"/>
      <c r="H43" s="12"/>
      <c r="I43" s="22" t="str">
        <f aca="false">IF(AND(B43&lt;&gt;"",$B$6&lt;&gt;""),IF(B43&gt;=$B$6-0.5,1,0),"")</f>
        <v/>
      </c>
      <c r="J43" s="22" t="str">
        <f aca="false">IF(AND(E43&lt;&gt;"",$E$6&lt;&gt;""),IF(E43&gt;=$E$6-0.5,1,0),"")</f>
        <v/>
      </c>
    </row>
    <row r="44" customFormat="false" ht="15" hidden="false" customHeight="false" outlineLevel="0" collapsed="false">
      <c r="A44" s="18" t="n">
        <v>32</v>
      </c>
      <c r="B44" s="13"/>
      <c r="C44" s="13"/>
      <c r="D44" s="24"/>
      <c r="E44" s="13"/>
      <c r="F44" s="13"/>
      <c r="G44" s="24"/>
      <c r="H44" s="12"/>
      <c r="I44" s="22" t="str">
        <f aca="false">IF(AND(B44&lt;&gt;"",$B$6&lt;&gt;""),IF(B44&gt;=$B$6-0.5,1,0),"")</f>
        <v/>
      </c>
      <c r="J44" s="22" t="str">
        <f aca="false">IF(AND(E44&lt;&gt;"",$E$6&lt;&gt;""),IF(E44&gt;=$E$6-0.5,1,0),"")</f>
        <v/>
      </c>
    </row>
    <row r="45" customFormat="false" ht="15" hidden="false" customHeight="false" outlineLevel="0" collapsed="false">
      <c r="A45" s="18" t="n">
        <v>33</v>
      </c>
      <c r="B45" s="13"/>
      <c r="C45" s="13"/>
      <c r="D45" s="24"/>
      <c r="E45" s="13"/>
      <c r="F45" s="13"/>
      <c r="G45" s="24"/>
      <c r="H45" s="12"/>
      <c r="I45" s="22" t="str">
        <f aca="false">IF(AND(B45&lt;&gt;"",$B$6&lt;&gt;""),IF(B45&gt;=$B$6-0.5,1,0),"")</f>
        <v/>
      </c>
      <c r="J45" s="22" t="str">
        <f aca="false">IF(AND(E45&lt;&gt;"",$E$6&lt;&gt;""),IF(E45&gt;=$E$6-0.5,1,0),"")</f>
        <v/>
      </c>
    </row>
    <row r="46" customFormat="false" ht="15" hidden="false" customHeight="false" outlineLevel="0" collapsed="false">
      <c r="A46" s="18" t="n">
        <v>34</v>
      </c>
      <c r="B46" s="13"/>
      <c r="C46" s="13"/>
      <c r="D46" s="24"/>
      <c r="E46" s="13"/>
      <c r="F46" s="13"/>
      <c r="G46" s="24"/>
      <c r="H46" s="12"/>
      <c r="I46" s="22" t="str">
        <f aca="false">IF(AND(B46&lt;&gt;"",$B$6&lt;&gt;""),IF(B46&gt;=$B$6-0.5,1,0),"")</f>
        <v/>
      </c>
      <c r="J46" s="22" t="str">
        <f aca="false">IF(AND(E46&lt;&gt;"",$E$6&lt;&gt;""),IF(E46&gt;=$E$6-0.5,1,0),"")</f>
        <v/>
      </c>
    </row>
    <row r="47" customFormat="false" ht="15" hidden="false" customHeight="false" outlineLevel="0" collapsed="false">
      <c r="A47" s="18" t="n">
        <v>35</v>
      </c>
      <c r="B47" s="13"/>
      <c r="C47" s="13"/>
      <c r="D47" s="24"/>
      <c r="E47" s="13"/>
      <c r="F47" s="13"/>
      <c r="G47" s="24"/>
      <c r="H47" s="12"/>
      <c r="I47" s="22" t="str">
        <f aca="false">IF(AND(B47&lt;&gt;"",$B$6&lt;&gt;""),IF(B47&gt;=$B$6-0.5,1,0),"")</f>
        <v/>
      </c>
      <c r="J47" s="22" t="str">
        <f aca="false">IF(AND(E47&lt;&gt;"",$E$6&lt;&gt;""),IF(E47&gt;=$E$6-0.5,1,0),"")</f>
        <v/>
      </c>
    </row>
    <row r="48" customFormat="false" ht="15" hidden="false" customHeight="false" outlineLevel="0" collapsed="false">
      <c r="A48" s="18" t="n">
        <v>36</v>
      </c>
      <c r="B48" s="13"/>
      <c r="C48" s="13"/>
      <c r="D48" s="24"/>
      <c r="E48" s="13"/>
      <c r="F48" s="13"/>
      <c r="G48" s="24"/>
      <c r="H48" s="12"/>
      <c r="I48" s="22" t="str">
        <f aca="false">IF(AND(B48&lt;&gt;"",$B$6&lt;&gt;""),IF(B48&gt;=$B$6-0.5,1,0),"")</f>
        <v/>
      </c>
      <c r="J48" s="22" t="str">
        <f aca="false">IF(AND(E48&lt;&gt;"",$E$6&lt;&gt;""),IF(E48&gt;=$E$6-0.5,1,0),"")</f>
        <v/>
      </c>
    </row>
    <row r="49" customFormat="false" ht="15" hidden="false" customHeight="false" outlineLevel="0" collapsed="false">
      <c r="A49" s="18" t="n">
        <v>37</v>
      </c>
      <c r="B49" s="13"/>
      <c r="C49" s="13"/>
      <c r="D49" s="24"/>
      <c r="E49" s="13"/>
      <c r="F49" s="13"/>
      <c r="G49" s="24"/>
      <c r="H49" s="12"/>
      <c r="I49" s="22" t="str">
        <f aca="false">IF(AND(B49&lt;&gt;"",$B$6&lt;&gt;""),IF(B49&gt;=$B$6-0.5,1,0),"")</f>
        <v/>
      </c>
      <c r="J49" s="22" t="str">
        <f aca="false">IF(AND(E49&lt;&gt;"",$E$6&lt;&gt;""),IF(E49&gt;=$E$6-0.5,1,0),"")</f>
        <v/>
      </c>
    </row>
    <row r="50" customFormat="false" ht="15" hidden="false" customHeight="false" outlineLevel="0" collapsed="false">
      <c r="A50" s="18" t="n">
        <v>38</v>
      </c>
      <c r="B50" s="13"/>
      <c r="C50" s="13"/>
      <c r="D50" s="24"/>
      <c r="E50" s="13"/>
      <c r="F50" s="13"/>
      <c r="G50" s="24"/>
      <c r="H50" s="12"/>
      <c r="I50" s="22" t="str">
        <f aca="false">IF(AND(B50&lt;&gt;"",$B$6&lt;&gt;""),IF(B50&gt;=$B$6-0.5,1,0),"")</f>
        <v/>
      </c>
      <c r="J50" s="22" t="str">
        <f aca="false">IF(AND(E50&lt;&gt;"",$E$6&lt;&gt;""),IF(E50&gt;=$E$6-0.5,1,0),"")</f>
        <v/>
      </c>
    </row>
    <row r="51" customFormat="false" ht="15" hidden="false" customHeight="false" outlineLevel="0" collapsed="false">
      <c r="A51" s="18" t="n">
        <v>39</v>
      </c>
      <c r="B51" s="13"/>
      <c r="C51" s="13"/>
      <c r="D51" s="24"/>
      <c r="E51" s="13"/>
      <c r="F51" s="13"/>
      <c r="G51" s="24"/>
      <c r="H51" s="12"/>
      <c r="I51" s="22" t="str">
        <f aca="false">IF(AND(B51&lt;&gt;"",$B$6&lt;&gt;""),IF(B51&gt;=$B$6-0.5,1,0),"")</f>
        <v/>
      </c>
      <c r="J51" s="22" t="str">
        <f aca="false">IF(AND(E51&lt;&gt;"",$E$6&lt;&gt;""),IF(E51&gt;=$E$6-0.5,1,0),"")</f>
        <v/>
      </c>
    </row>
    <row r="52" customFormat="false" ht="15" hidden="false" customHeight="false" outlineLevel="0" collapsed="false">
      <c r="A52" s="18" t="n">
        <v>40</v>
      </c>
      <c r="B52" s="13"/>
      <c r="C52" s="13"/>
      <c r="D52" s="24"/>
      <c r="E52" s="13"/>
      <c r="F52" s="13"/>
      <c r="G52" s="24"/>
      <c r="H52" s="12"/>
      <c r="I52" s="22" t="str">
        <f aca="false">IF(AND(B52&lt;&gt;"",$B$6&lt;&gt;""),IF(B52&gt;=$B$6-0.5,1,0),"")</f>
        <v/>
      </c>
      <c r="J52" s="22" t="str">
        <f aca="false">IF(AND(E52&lt;&gt;"",$E$6&lt;&gt;""),IF(E52&gt;=$E$6-0.5,1,0),"")</f>
        <v/>
      </c>
    </row>
    <row r="53" customFormat="false" ht="15" hidden="false" customHeight="false" outlineLevel="0" collapsed="false">
      <c r="A53" s="18" t="n">
        <v>41</v>
      </c>
      <c r="B53" s="13"/>
      <c r="C53" s="13"/>
      <c r="D53" s="24"/>
      <c r="E53" s="13"/>
      <c r="F53" s="13"/>
      <c r="G53" s="24"/>
      <c r="H53" s="12"/>
      <c r="I53" s="22" t="str">
        <f aca="false">IF(AND(B53&lt;&gt;"",$B$6&lt;&gt;""),IF(B53&gt;=$B$6-0.5,1,0),"")</f>
        <v/>
      </c>
      <c r="J53" s="22" t="str">
        <f aca="false">IF(AND(E53&lt;&gt;"",$E$6&lt;&gt;""),IF(E53&gt;=$E$6-0.5,1,0),"")</f>
        <v/>
      </c>
    </row>
    <row r="54" customFormat="false" ht="15" hidden="false" customHeight="false" outlineLevel="0" collapsed="false">
      <c r="A54" s="18" t="n">
        <v>42</v>
      </c>
      <c r="B54" s="13"/>
      <c r="C54" s="13"/>
      <c r="D54" s="24"/>
      <c r="E54" s="13"/>
      <c r="F54" s="13"/>
      <c r="G54" s="24"/>
      <c r="H54" s="12"/>
      <c r="I54" s="22" t="str">
        <f aca="false">IF(AND(B54&lt;&gt;"",$B$6&lt;&gt;""),IF(B54&gt;=$B$6-0.5,1,0),"")</f>
        <v/>
      </c>
      <c r="J54" s="22" t="str">
        <f aca="false">IF(AND(E54&lt;&gt;"",$E$6&lt;&gt;""),IF(E54&gt;=$E$6-0.5,1,0),"")</f>
        <v/>
      </c>
    </row>
    <row r="55" customFormat="false" ht="15" hidden="false" customHeight="false" outlineLevel="0" collapsed="false">
      <c r="A55" s="18" t="n">
        <v>43</v>
      </c>
      <c r="B55" s="13"/>
      <c r="C55" s="13"/>
      <c r="D55" s="24"/>
      <c r="E55" s="13"/>
      <c r="F55" s="13"/>
      <c r="G55" s="24"/>
      <c r="H55" s="12"/>
      <c r="I55" s="22" t="str">
        <f aca="false">IF(AND(B55&lt;&gt;"",$B$6&lt;&gt;""),IF(B55&gt;=$B$6-0.5,1,0),"")</f>
        <v/>
      </c>
      <c r="J55" s="22" t="str">
        <f aca="false">IF(AND(E55&lt;&gt;"",$E$6&lt;&gt;""),IF(E55&gt;=$E$6-0.5,1,0),"")</f>
        <v/>
      </c>
    </row>
    <row r="56" customFormat="false" ht="15" hidden="false" customHeight="false" outlineLevel="0" collapsed="false">
      <c r="A56" s="18" t="n">
        <v>44</v>
      </c>
      <c r="B56" s="13"/>
      <c r="C56" s="13"/>
      <c r="D56" s="24"/>
      <c r="E56" s="13"/>
      <c r="F56" s="13"/>
      <c r="G56" s="24"/>
      <c r="H56" s="12"/>
      <c r="I56" s="22" t="str">
        <f aca="false">IF(AND(B56&lt;&gt;"",$B$6&lt;&gt;""),IF(B56&gt;=$B$6-0.5,1,0),"")</f>
        <v/>
      </c>
      <c r="J56" s="22" t="str">
        <f aca="false">IF(AND(E56&lt;&gt;"",$E$6&lt;&gt;""),IF(E56&gt;=$E$6-0.5,1,0),"")</f>
        <v/>
      </c>
    </row>
    <row r="57" customFormat="false" ht="15" hidden="false" customHeight="false" outlineLevel="0" collapsed="false">
      <c r="A57" s="18" t="n">
        <v>45</v>
      </c>
      <c r="B57" s="13"/>
      <c r="C57" s="13"/>
      <c r="D57" s="24"/>
      <c r="E57" s="13"/>
      <c r="F57" s="13"/>
      <c r="G57" s="24"/>
      <c r="H57" s="12"/>
      <c r="I57" s="22" t="str">
        <f aca="false">IF(AND(B57&lt;&gt;"",$B$6&lt;&gt;""),IF(B57&gt;=$B$6-0.5,1,0),"")</f>
        <v/>
      </c>
      <c r="J57" s="22" t="str">
        <f aca="false">IF(AND(E57&lt;&gt;"",$E$6&lt;&gt;""),IF(E57&gt;=$E$6-0.5,1,0),"")</f>
        <v/>
      </c>
    </row>
    <row r="58" customFormat="false" ht="15" hidden="false" customHeight="false" outlineLevel="0" collapsed="false">
      <c r="A58" s="18" t="n">
        <v>46</v>
      </c>
      <c r="B58" s="13"/>
      <c r="C58" s="13"/>
      <c r="D58" s="24"/>
      <c r="E58" s="13"/>
      <c r="F58" s="13"/>
      <c r="G58" s="24"/>
      <c r="H58" s="12"/>
      <c r="I58" s="22" t="str">
        <f aca="false">IF(AND(B58&lt;&gt;"",$B$6&lt;&gt;""),IF(B58&gt;=$B$6-0.5,1,0),"")</f>
        <v/>
      </c>
      <c r="J58" s="22" t="str">
        <f aca="false">IF(AND(E58&lt;&gt;"",$E$6&lt;&gt;""),IF(E58&gt;=$E$6-0.5,1,0),"")</f>
        <v/>
      </c>
    </row>
    <row r="59" customFormat="false" ht="15" hidden="false" customHeight="false" outlineLevel="0" collapsed="false">
      <c r="A59" s="18" t="n">
        <v>47</v>
      </c>
      <c r="B59" s="13"/>
      <c r="C59" s="13"/>
      <c r="D59" s="24"/>
      <c r="E59" s="13"/>
      <c r="F59" s="13"/>
      <c r="G59" s="24"/>
      <c r="H59" s="12"/>
      <c r="I59" s="22" t="str">
        <f aca="false">IF(AND(B59&lt;&gt;"",$B$6&lt;&gt;""),IF(B59&gt;=$B$6-0.5,1,0),"")</f>
        <v/>
      </c>
      <c r="J59" s="22" t="str">
        <f aca="false">IF(AND(E59&lt;&gt;"",$E$6&lt;&gt;""),IF(E59&gt;=$E$6-0.5,1,0),"")</f>
        <v/>
      </c>
    </row>
    <row r="60" customFormat="false" ht="15" hidden="false" customHeight="false" outlineLevel="0" collapsed="false">
      <c r="A60" s="18" t="n">
        <v>48</v>
      </c>
      <c r="B60" s="13"/>
      <c r="C60" s="13"/>
      <c r="D60" s="24"/>
      <c r="E60" s="13"/>
      <c r="F60" s="13"/>
      <c r="G60" s="24"/>
      <c r="H60" s="12"/>
      <c r="I60" s="22" t="str">
        <f aca="false">IF(AND(B60&lt;&gt;"",$B$6&lt;&gt;""),IF(B60&gt;=$B$6-0.5,1,0),"")</f>
        <v/>
      </c>
      <c r="J60" s="22" t="str">
        <f aca="false">IF(AND(E60&lt;&gt;"",$E$6&lt;&gt;""),IF(E60&gt;=$E$6-0.5,1,0),"")</f>
        <v/>
      </c>
    </row>
    <row r="61" customFormat="false" ht="15" hidden="false" customHeight="false" outlineLevel="0" collapsed="false">
      <c r="A61" s="18" t="n">
        <v>49</v>
      </c>
      <c r="B61" s="13"/>
      <c r="C61" s="13"/>
      <c r="D61" s="24"/>
      <c r="E61" s="13"/>
      <c r="F61" s="13"/>
      <c r="G61" s="24"/>
      <c r="H61" s="12"/>
      <c r="I61" s="22" t="str">
        <f aca="false">IF(AND(B61&lt;&gt;"",$B$6&lt;&gt;""),IF(B61&gt;=$B$6-0.5,1,0),"")</f>
        <v/>
      </c>
      <c r="J61" s="22" t="str">
        <f aca="false">IF(AND(E61&lt;&gt;"",$E$6&lt;&gt;""),IF(E61&gt;=$E$6-0.5,1,0),"")</f>
        <v/>
      </c>
    </row>
    <row r="62" customFormat="false" ht="15" hidden="false" customHeight="false" outlineLevel="0" collapsed="false">
      <c r="A62" s="18" t="n">
        <v>50</v>
      </c>
      <c r="B62" s="13"/>
      <c r="C62" s="13"/>
      <c r="D62" s="24"/>
      <c r="E62" s="13"/>
      <c r="F62" s="13"/>
      <c r="G62" s="24"/>
      <c r="H62" s="12"/>
      <c r="I62" s="22" t="str">
        <f aca="false">IF(AND(B62&lt;&gt;"",$B$6&lt;&gt;""),IF(B62&gt;=$B$6-0.5,1,0),"")</f>
        <v/>
      </c>
      <c r="J62" s="22" t="str">
        <f aca="false">IF(AND(E62&lt;&gt;"",$E$6&lt;&gt;""),IF(E62&gt;=$E$6-0.5,1,0),"")</f>
        <v/>
      </c>
    </row>
    <row r="63" customFormat="false" ht="15" hidden="false" customHeight="false" outlineLevel="0" collapsed="false">
      <c r="A63" s="18" t="n">
        <v>51</v>
      </c>
      <c r="B63" s="13"/>
      <c r="C63" s="13"/>
      <c r="D63" s="24"/>
      <c r="E63" s="13"/>
      <c r="F63" s="13"/>
      <c r="G63" s="24"/>
      <c r="H63" s="12"/>
      <c r="I63" s="22" t="str">
        <f aca="false">IF(AND(B63&lt;&gt;"",$B$6&lt;&gt;""),IF(B63&gt;=$B$6-0.5,1,0),"")</f>
        <v/>
      </c>
      <c r="J63" s="22" t="str">
        <f aca="false">IF(AND(E63&lt;&gt;"",$E$6&lt;&gt;""),IF(E63&gt;=$E$6-0.5,1,0),"")</f>
        <v/>
      </c>
    </row>
    <row r="64" customFormat="false" ht="15" hidden="false" customHeight="false" outlineLevel="0" collapsed="false">
      <c r="A64" s="18" t="n">
        <v>52</v>
      </c>
      <c r="B64" s="13"/>
      <c r="C64" s="13"/>
      <c r="D64" s="24"/>
      <c r="E64" s="13"/>
      <c r="F64" s="13"/>
      <c r="G64" s="24"/>
      <c r="H64" s="12"/>
      <c r="I64" s="22" t="str">
        <f aca="false">IF(AND(B64&lt;&gt;"",$B$6&lt;&gt;""),IF(B64&gt;=$B$6-0.5,1,0),"")</f>
        <v/>
      </c>
      <c r="J64" s="22" t="str">
        <f aca="false">IF(AND(E64&lt;&gt;"",$E$6&lt;&gt;""),IF(E64&gt;=$E$6-0.5,1,0),"")</f>
        <v/>
      </c>
    </row>
    <row r="65" customFormat="false" ht="15" hidden="false" customHeight="false" outlineLevel="0" collapsed="false">
      <c r="A65" s="18" t="n">
        <v>53</v>
      </c>
      <c r="B65" s="13"/>
      <c r="C65" s="13"/>
      <c r="D65" s="24"/>
      <c r="E65" s="13"/>
      <c r="F65" s="13"/>
      <c r="G65" s="24"/>
      <c r="H65" s="12"/>
      <c r="I65" s="22" t="str">
        <f aca="false">IF(AND(B65&lt;&gt;"",$B$6&lt;&gt;""),IF(B65&gt;=$B$6-0.5,1,0),"")</f>
        <v/>
      </c>
      <c r="J65" s="22" t="str">
        <f aca="false">IF(AND(E65&lt;&gt;"",$E$6&lt;&gt;""),IF(E65&gt;=$E$6-0.5,1,0),"")</f>
        <v/>
      </c>
    </row>
    <row r="66" customFormat="false" ht="15" hidden="false" customHeight="false" outlineLevel="0" collapsed="false">
      <c r="A66" s="18" t="n">
        <v>54</v>
      </c>
      <c r="B66" s="13"/>
      <c r="C66" s="13"/>
      <c r="D66" s="24"/>
      <c r="E66" s="13"/>
      <c r="F66" s="13"/>
      <c r="G66" s="24"/>
      <c r="H66" s="12"/>
      <c r="I66" s="22" t="str">
        <f aca="false">IF(AND(B66&lt;&gt;"",$B$6&lt;&gt;""),IF(B66&gt;=$B$6-0.5,1,0),"")</f>
        <v/>
      </c>
      <c r="J66" s="22" t="str">
        <f aca="false">IF(AND(E66&lt;&gt;"",$E$6&lt;&gt;""),IF(E66&gt;=$E$6-0.5,1,0),"")</f>
        <v/>
      </c>
    </row>
    <row r="67" customFormat="false" ht="15" hidden="false" customHeight="false" outlineLevel="0" collapsed="false">
      <c r="A67" s="18" t="n">
        <v>55</v>
      </c>
      <c r="B67" s="13"/>
      <c r="C67" s="13"/>
      <c r="D67" s="24"/>
      <c r="E67" s="13"/>
      <c r="F67" s="13"/>
      <c r="G67" s="24"/>
      <c r="H67" s="12"/>
      <c r="I67" s="22" t="str">
        <f aca="false">IF(AND(B67&lt;&gt;"",$B$6&lt;&gt;""),IF(B67&gt;=$B$6-0.5,1,0),"")</f>
        <v/>
      </c>
      <c r="J67" s="22" t="str">
        <f aca="false">IF(AND(E67&lt;&gt;"",$E$6&lt;&gt;""),IF(E67&gt;=$E$6-0.5,1,0),"")</f>
        <v/>
      </c>
    </row>
    <row r="68" customFormat="false" ht="15" hidden="false" customHeight="false" outlineLevel="0" collapsed="false">
      <c r="A68" s="18" t="n">
        <v>56</v>
      </c>
      <c r="B68" s="13"/>
      <c r="C68" s="13"/>
      <c r="D68" s="24"/>
      <c r="E68" s="13"/>
      <c r="F68" s="13"/>
      <c r="G68" s="24"/>
      <c r="H68" s="12"/>
      <c r="I68" s="22" t="str">
        <f aca="false">IF(AND(B68&lt;&gt;"",$B$6&lt;&gt;""),IF(B68&gt;=$B$6-0.5,1,0),"")</f>
        <v/>
      </c>
      <c r="J68" s="22" t="str">
        <f aca="false">IF(AND(E68&lt;&gt;"",$E$6&lt;&gt;""),IF(E68&gt;=$E$6-0.5,1,0),"")</f>
        <v/>
      </c>
    </row>
    <row r="69" customFormat="false" ht="15" hidden="false" customHeight="false" outlineLevel="0" collapsed="false">
      <c r="A69" s="18" t="n">
        <v>57</v>
      </c>
      <c r="B69" s="13"/>
      <c r="C69" s="13"/>
      <c r="D69" s="24"/>
      <c r="E69" s="13"/>
      <c r="F69" s="13"/>
      <c r="G69" s="24"/>
      <c r="H69" s="12"/>
      <c r="I69" s="22" t="str">
        <f aca="false">IF(AND(B69&lt;&gt;"",$B$6&lt;&gt;""),IF(B69&gt;=$B$6-0.5,1,0),"")</f>
        <v/>
      </c>
      <c r="J69" s="22" t="str">
        <f aca="false">IF(AND(E69&lt;&gt;"",$E$6&lt;&gt;""),IF(E69&gt;=$E$6-0.5,1,0),"")</f>
        <v/>
      </c>
    </row>
    <row r="70" customFormat="false" ht="15" hidden="false" customHeight="false" outlineLevel="0" collapsed="false">
      <c r="A70" s="18" t="n">
        <v>58</v>
      </c>
      <c r="B70" s="13"/>
      <c r="C70" s="13"/>
      <c r="D70" s="24"/>
      <c r="E70" s="13"/>
      <c r="F70" s="13"/>
      <c r="G70" s="24"/>
      <c r="H70" s="12"/>
      <c r="I70" s="22" t="str">
        <f aca="false">IF(AND(B70&lt;&gt;"",$B$6&lt;&gt;""),IF(B70&gt;=$B$6-0.5,1,0),"")</f>
        <v/>
      </c>
      <c r="J70" s="22" t="str">
        <f aca="false">IF(AND(E70&lt;&gt;"",$E$6&lt;&gt;""),IF(E70&gt;=$E$6-0.5,1,0),"")</f>
        <v/>
      </c>
    </row>
    <row r="71" customFormat="false" ht="15" hidden="false" customHeight="false" outlineLevel="0" collapsed="false">
      <c r="A71" s="18" t="n">
        <v>59</v>
      </c>
      <c r="B71" s="13"/>
      <c r="C71" s="13"/>
      <c r="D71" s="24"/>
      <c r="E71" s="13"/>
      <c r="F71" s="13"/>
      <c r="G71" s="24"/>
      <c r="H71" s="12"/>
      <c r="I71" s="22" t="str">
        <f aca="false">IF(AND(B71&lt;&gt;"",$B$6&lt;&gt;""),IF(B71&gt;=$B$6-0.5,1,0),"")</f>
        <v/>
      </c>
      <c r="J71" s="22" t="str">
        <f aca="false">IF(AND(E71&lt;&gt;"",$E$6&lt;&gt;""),IF(E71&gt;=$E$6-0.5,1,0),"")</f>
        <v/>
      </c>
    </row>
  </sheetData>
  <mergeCells count="12"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</mergeCells>
  <dataValidations count="1">
    <dataValidation allowBlank="true" errorStyle="stop" operator="between" showDropDown="false" showErrorMessage="false" showInputMessage="false" sqref="B7" type="list">
      <formula1>"尽快,按速率,按时长"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2" min="12" style="0" width="34"/>
    <col collapsed="false" customWidth="true" hidden="false" outlineLevel="0" max="13" min="13" style="0" width="14"/>
  </cols>
  <sheetData>
    <row r="1" customFormat="false" ht="21.6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15" hidden="false" customHeight="false" outlineLevel="0" collapsed="false">
      <c r="A4" s="10" t="s">
        <v>24</v>
      </c>
      <c r="B4" s="11"/>
      <c r="C4" s="11"/>
      <c r="D4" s="10" t="s">
        <v>25</v>
      </c>
      <c r="E4" s="12"/>
      <c r="F4" s="12"/>
    </row>
    <row r="5" customFormat="false" ht="29.85" hidden="false" customHeight="false" outlineLevel="0" collapsed="false">
      <c r="A5" s="10" t="s">
        <v>76</v>
      </c>
      <c r="B5" s="13" t="n">
        <v>0</v>
      </c>
      <c r="C5" s="13"/>
      <c r="D5" s="15" t="s">
        <v>77</v>
      </c>
      <c r="E5" s="27" t="n">
        <v>0.5</v>
      </c>
      <c r="F5" s="27"/>
    </row>
    <row r="6" customFormat="false" ht="15" hidden="false" customHeight="false" outlineLevel="0" collapsed="false">
      <c r="A6" s="15" t="s">
        <v>78</v>
      </c>
      <c r="B6" s="13" t="n">
        <v>23.5</v>
      </c>
      <c r="C6" s="13"/>
      <c r="D6" s="15" t="s">
        <v>79</v>
      </c>
      <c r="E6" s="13" t="n">
        <v>23.4</v>
      </c>
      <c r="F6" s="13"/>
    </row>
    <row r="7" customFormat="false" ht="29.85" hidden="false" customHeight="true" outlineLevel="0" collapsed="false">
      <c r="A7" s="15" t="s">
        <v>32</v>
      </c>
      <c r="B7" s="13" t="n">
        <v>90</v>
      </c>
      <c r="C7" s="13"/>
      <c r="D7" s="10" t="s">
        <v>33</v>
      </c>
      <c r="E7" s="12" t="s">
        <v>34</v>
      </c>
      <c r="F7" s="12"/>
    </row>
    <row r="9" customFormat="false" ht="15" hidden="false" customHeight="false" outlineLevel="0" collapsed="false">
      <c r="A9" s="16" t="s">
        <v>36</v>
      </c>
      <c r="B9" s="17" t="s">
        <v>37</v>
      </c>
      <c r="C9" s="17" t="s">
        <v>38</v>
      </c>
      <c r="D9" s="17" t="s">
        <v>40</v>
      </c>
      <c r="E9" s="17" t="s">
        <v>41</v>
      </c>
      <c r="F9" s="17" t="s">
        <v>80</v>
      </c>
      <c r="G9" s="17" t="s">
        <v>81</v>
      </c>
      <c r="H9" s="16" t="s">
        <v>35</v>
      </c>
      <c r="I9" s="17" t="s">
        <v>43</v>
      </c>
      <c r="J9" s="17" t="s">
        <v>44</v>
      </c>
      <c r="L9" s="16" t="s">
        <v>45</v>
      </c>
      <c r="M9" s="16" t="s">
        <v>46</v>
      </c>
    </row>
    <row r="10" customFormat="false" ht="15" hidden="false" customHeight="false" outlineLevel="0" collapsed="false">
      <c r="A10" s="18" t="n">
        <v>0</v>
      </c>
      <c r="B10" s="19" t="n">
        <v>23.5</v>
      </c>
      <c r="C10" s="19" t="n">
        <v>90</v>
      </c>
      <c r="D10" s="19" t="n">
        <v>23.4</v>
      </c>
      <c r="E10" s="19" t="n">
        <v>4.5</v>
      </c>
      <c r="F10" s="23" t="n">
        <f aca="false">IF(OR($B$5="",$E$6="",$E$5=""),"",IF($B$5&lt;$E$6,MAX($B$5,$E$6-$E$5*A10),MIN($B$5,$E$6+$E$5*A10)))</f>
        <v>23.4</v>
      </c>
      <c r="G10" s="23" t="n">
        <f aca="false">IF(OR(D10="",F10=""),"",D10-F10)</f>
        <v>0</v>
      </c>
      <c r="H10" s="21" t="s">
        <v>47</v>
      </c>
      <c r="I10" s="22" t="n">
        <f aca="false">IF(AND(B10&lt;&gt;"",$B$5&lt;&gt;""),IF(ABS(B10-$B$5)&lt;=0.5,1,0),"")</f>
        <v>0</v>
      </c>
      <c r="J10" s="22" t="n">
        <f aca="false">IF(AND(D10&lt;&gt;"",$B$5&lt;&gt;""),IF(ABS(D10-$B$5)&lt;=0.5,1,0),"")</f>
        <v>0</v>
      </c>
      <c r="L10" s="15" t="s">
        <v>82</v>
      </c>
      <c r="M10" s="22" t="str">
        <f aca="false">IFERROR(INDEX($A$10:$A$59,MATCH(1,I10:I59,0)),"未到")</f>
        <v>未到</v>
      </c>
    </row>
    <row r="11" customFormat="false" ht="15" hidden="false" customHeight="false" outlineLevel="0" collapsed="false">
      <c r="A11" s="18" t="n">
        <v>1</v>
      </c>
      <c r="B11" s="13"/>
      <c r="C11" s="13"/>
      <c r="D11" s="13"/>
      <c r="E11" s="13"/>
      <c r="F11" s="23" t="n">
        <f aca="false">IF(OR($B$5="",$E$6="",$E$5=""),"",IF($B$5&lt;$E$6,MAX($B$5,$E$6-$E$5*A11),MIN($B$5,$E$6+$E$5*A11)))</f>
        <v>22.9</v>
      </c>
      <c r="G11" s="23" t="str">
        <f aca="false">IF(OR(D11="",F11=""),"",D11-F11)</f>
        <v/>
      </c>
      <c r="H11" s="12"/>
      <c r="I11" s="22" t="str">
        <f aca="false">IF(AND(B11&lt;&gt;"",$B$5&lt;&gt;""),IF(ABS(B11-$B$5)&lt;=0.5,1,0),"")</f>
        <v/>
      </c>
      <c r="J11" s="22" t="str">
        <f aca="false">IF(AND(D11&lt;&gt;"",$B$5&lt;&gt;""),IF(ABS(D11-$B$5)&lt;=0.5,1,0),"")</f>
        <v/>
      </c>
      <c r="L11" s="15" t="s">
        <v>83</v>
      </c>
      <c r="M11" s="22" t="str">
        <f aca="false">IFERROR(INDEX($A$10:$A$59,MATCH(1,J10:J59,0)),"未到")</f>
        <v>未到</v>
      </c>
    </row>
    <row r="12" customFormat="false" ht="15" hidden="false" customHeight="false" outlineLevel="0" collapsed="false">
      <c r="A12" s="18" t="n">
        <v>2</v>
      </c>
      <c r="B12" s="13"/>
      <c r="C12" s="13"/>
      <c r="D12" s="13"/>
      <c r="E12" s="13"/>
      <c r="F12" s="23" t="n">
        <f aca="false">IF(OR($B$5="",$E$6="",$E$5=""),"",IF($B$5&lt;$E$6,MAX($B$5,$E$6-$E$5*A12),MIN($B$5,$E$6+$E$5*A12)))</f>
        <v>22.4</v>
      </c>
      <c r="G12" s="23" t="str">
        <f aca="false">IF(OR(D12="",F12=""),"",D12-F12)</f>
        <v/>
      </c>
      <c r="H12" s="12"/>
      <c r="I12" s="22" t="str">
        <f aca="false">IF(AND(B12&lt;&gt;"",$B$5&lt;&gt;""),IF(ABS(B12-$B$5)&lt;=0.5,1,0),"")</f>
        <v/>
      </c>
      <c r="J12" s="22" t="str">
        <f aca="false">IF(AND(D12&lt;&gt;"",$B$5&lt;&gt;""),IF(ABS(D12-$B$5)&lt;=0.5,1,0),"")</f>
        <v/>
      </c>
      <c r="L12" s="15" t="s">
        <v>84</v>
      </c>
      <c r="M12" s="23" t="n">
        <f aca="false">IF(OR($B$5="",$E$6="",$E$5=""),"",ABS($E$6-$B$5)/$E$5)</f>
        <v>46.8</v>
      </c>
    </row>
    <row r="13" customFormat="false" ht="15" hidden="false" customHeight="false" outlineLevel="0" collapsed="false">
      <c r="A13" s="18" t="n">
        <v>3</v>
      </c>
      <c r="B13" s="13"/>
      <c r="C13" s="13"/>
      <c r="D13" s="13"/>
      <c r="E13" s="13"/>
      <c r="F13" s="23" t="n">
        <f aca="false">IF(OR($B$5="",$E$6="",$E$5=""),"",IF($B$5&lt;$E$6,MAX($B$5,$E$6-$E$5*A13),MIN($B$5,$E$6+$E$5*A13)))</f>
        <v>21.9</v>
      </c>
      <c r="G13" s="23" t="str">
        <f aca="false">IF(OR(D13="",F13=""),"",D13-F13)</f>
        <v/>
      </c>
      <c r="H13" s="12"/>
      <c r="I13" s="22" t="str">
        <f aca="false">IF(AND(B13&lt;&gt;"",$B$5&lt;&gt;""),IF(ABS(B13-$B$5)&lt;=0.5,1,0),"")</f>
        <v/>
      </c>
      <c r="J13" s="22" t="str">
        <f aca="false">IF(AND(D13&lt;&gt;"",$B$5&lt;&gt;""),IF(ABS(D13-$B$5)&lt;=0.5,1,0),"")</f>
        <v/>
      </c>
      <c r="L13" s="15" t="s">
        <v>85</v>
      </c>
      <c r="M13" s="23" t="n">
        <f aca="false">IF(COUNT(G10:G59)=0,"",MAX(ABS(MIN(G10:G59)),ABS(MAX(G10:G59))))</f>
        <v>0</v>
      </c>
    </row>
    <row r="14" customFormat="false" ht="15" hidden="false" customHeight="false" outlineLevel="0" collapsed="false">
      <c r="A14" s="18" t="n">
        <v>4</v>
      </c>
      <c r="B14" s="13"/>
      <c r="C14" s="13"/>
      <c r="D14" s="13"/>
      <c r="E14" s="13"/>
      <c r="F14" s="23" t="n">
        <f aca="false">IF(OR($B$5="",$E$6="",$E$5=""),"",IF($B$5&lt;$E$6,MAX($B$5,$E$6-$E$5*A14),MIN($B$5,$E$6+$E$5*A14)))</f>
        <v>21.4</v>
      </c>
      <c r="G14" s="23" t="str">
        <f aca="false">IF(OR(D14="",F14=""),"",D14-F14)</f>
        <v/>
      </c>
      <c r="H14" s="12"/>
      <c r="I14" s="22" t="str">
        <f aca="false">IF(AND(B14&lt;&gt;"",$B$5&lt;&gt;""),IF(ABS(B14-$B$5)&lt;=0.5,1,0),"")</f>
        <v/>
      </c>
      <c r="J14" s="22" t="str">
        <f aca="false">IF(AND(D14&lt;&gt;"",$B$5&lt;&gt;""),IF(ABS(D14-$B$5)&lt;=0.5,1,0),"")</f>
        <v/>
      </c>
      <c r="L14" s="15" t="s">
        <v>52</v>
      </c>
      <c r="M14" s="23" t="n">
        <f aca="false">IF(COUNT(C10:C59)=0,"",AVERAGE(C10:C59))</f>
        <v>90</v>
      </c>
    </row>
    <row r="15" customFormat="false" ht="15" hidden="false" customHeight="false" outlineLevel="0" collapsed="false">
      <c r="A15" s="18" t="n">
        <v>5</v>
      </c>
      <c r="B15" s="13"/>
      <c r="C15" s="13"/>
      <c r="D15" s="13"/>
      <c r="E15" s="13"/>
      <c r="F15" s="23" t="n">
        <f aca="false">IF(OR($B$5="",$E$6="",$E$5=""),"",IF($B$5&lt;$E$6,MAX($B$5,$E$6-$E$5*A15),MIN($B$5,$E$6+$E$5*A15)))</f>
        <v>20.9</v>
      </c>
      <c r="G15" s="23" t="str">
        <f aca="false">IF(OR(D15="",F15=""),"",D15-F15)</f>
        <v/>
      </c>
      <c r="H15" s="12"/>
      <c r="I15" s="22" t="str">
        <f aca="false">IF(AND(B15&lt;&gt;"",$B$5&lt;&gt;""),IF(ABS(B15-$B$5)&lt;=0.5,1,0),"")</f>
        <v/>
      </c>
      <c r="J15" s="22" t="str">
        <f aca="false">IF(AND(D15&lt;&gt;"",$B$5&lt;&gt;""),IF(ABS(D15-$B$5)&lt;=0.5,1,0),"")</f>
        <v/>
      </c>
      <c r="L15" s="15" t="s">
        <v>58</v>
      </c>
      <c r="M15" s="23" t="n">
        <f aca="false">IF(COUNT(E10:E59)=0,"",AVERAGE(E10:E59))</f>
        <v>4.5</v>
      </c>
    </row>
    <row r="16" customFormat="false" ht="15" hidden="false" customHeight="false" outlineLevel="0" collapsed="false">
      <c r="A16" s="18" t="n">
        <v>6</v>
      </c>
      <c r="B16" s="13"/>
      <c r="C16" s="13"/>
      <c r="D16" s="13"/>
      <c r="E16" s="13"/>
      <c r="F16" s="23" t="n">
        <f aca="false">IF(OR($B$5="",$E$6="",$E$5=""),"",IF($B$5&lt;$E$6,MAX($B$5,$E$6-$E$5*A16),MIN($B$5,$E$6+$E$5*A16)))</f>
        <v>20.4</v>
      </c>
      <c r="G16" s="23" t="str">
        <f aca="false">IF(OR(D16="",F16=""),"",D16-F16)</f>
        <v/>
      </c>
      <c r="H16" s="12"/>
      <c r="I16" s="22" t="str">
        <f aca="false">IF(AND(B16&lt;&gt;"",$B$5&lt;&gt;""),IF(ABS(B16-$B$5)&lt;=0.5,1,0),"")</f>
        <v/>
      </c>
      <c r="J16" s="22" t="str">
        <f aca="false">IF(AND(D16&lt;&gt;"",$B$5&lt;&gt;""),IF(ABS(D16-$B$5)&lt;=0.5,1,0),"")</f>
        <v/>
      </c>
    </row>
    <row r="17" customFormat="false" ht="15" hidden="false" customHeight="false" outlineLevel="0" collapsed="false">
      <c r="A17" s="18" t="n">
        <v>7</v>
      </c>
      <c r="B17" s="13"/>
      <c r="C17" s="13"/>
      <c r="D17" s="13"/>
      <c r="E17" s="13"/>
      <c r="F17" s="23" t="n">
        <f aca="false">IF(OR($B$5="",$E$6="",$E$5=""),"",IF($B$5&lt;$E$6,MAX($B$5,$E$6-$E$5*A17),MIN($B$5,$E$6+$E$5*A17)))</f>
        <v>19.9</v>
      </c>
      <c r="G17" s="23" t="str">
        <f aca="false">IF(OR(D17="",F17=""),"",D17-F17)</f>
        <v/>
      </c>
      <c r="H17" s="12"/>
      <c r="I17" s="22" t="str">
        <f aca="false">IF(AND(B17&lt;&gt;"",$B$5&lt;&gt;""),IF(ABS(B17-$B$5)&lt;=0.5,1,0),"")</f>
        <v/>
      </c>
      <c r="J17" s="22" t="str">
        <f aca="false">IF(AND(D17&lt;&gt;"",$B$5&lt;&gt;""),IF(ABS(D17-$B$5)&lt;=0.5,1,0),"")</f>
        <v/>
      </c>
    </row>
    <row r="18" customFormat="false" ht="15" hidden="false" customHeight="false" outlineLevel="0" collapsed="false">
      <c r="A18" s="18" t="n">
        <v>8</v>
      </c>
      <c r="B18" s="13"/>
      <c r="C18" s="13"/>
      <c r="D18" s="13"/>
      <c r="E18" s="13"/>
      <c r="F18" s="23" t="n">
        <f aca="false">IF(OR($B$5="",$E$6="",$E$5=""),"",IF($B$5&lt;$E$6,MAX($B$5,$E$6-$E$5*A18),MIN($B$5,$E$6+$E$5*A18)))</f>
        <v>19.4</v>
      </c>
      <c r="G18" s="23" t="str">
        <f aca="false">IF(OR(D18="",F18=""),"",D18-F18)</f>
        <v/>
      </c>
      <c r="H18" s="12"/>
      <c r="I18" s="22" t="str">
        <f aca="false">IF(AND(B18&lt;&gt;"",$B$5&lt;&gt;""),IF(ABS(B18-$B$5)&lt;=0.5,1,0),"")</f>
        <v/>
      </c>
      <c r="J18" s="22" t="str">
        <f aca="false">IF(AND(D18&lt;&gt;"",$B$5&lt;&gt;""),IF(ABS(D18-$B$5)&lt;=0.5,1,0),"")</f>
        <v/>
      </c>
    </row>
    <row r="19" customFormat="false" ht="15" hidden="false" customHeight="false" outlineLevel="0" collapsed="false">
      <c r="A19" s="18" t="n">
        <v>9</v>
      </c>
      <c r="B19" s="13"/>
      <c r="C19" s="13"/>
      <c r="D19" s="13"/>
      <c r="E19" s="13"/>
      <c r="F19" s="23" t="n">
        <f aca="false">IF(OR($B$5="",$E$6="",$E$5=""),"",IF($B$5&lt;$E$6,MAX($B$5,$E$6-$E$5*A19),MIN($B$5,$E$6+$E$5*A19)))</f>
        <v>18.9</v>
      </c>
      <c r="G19" s="23" t="str">
        <f aca="false">IF(OR(D19="",F19=""),"",D19-F19)</f>
        <v/>
      </c>
      <c r="H19" s="12"/>
      <c r="I19" s="22" t="str">
        <f aca="false">IF(AND(B19&lt;&gt;"",$B$5&lt;&gt;""),IF(ABS(B19-$B$5)&lt;=0.5,1,0),"")</f>
        <v/>
      </c>
      <c r="J19" s="22" t="str">
        <f aca="false">IF(AND(D19&lt;&gt;"",$B$5&lt;&gt;""),IF(ABS(D19-$B$5)&lt;=0.5,1,0),"")</f>
        <v/>
      </c>
    </row>
    <row r="20" customFormat="false" ht="15" hidden="false" customHeight="false" outlineLevel="0" collapsed="false">
      <c r="A20" s="18" t="n">
        <v>10</v>
      </c>
      <c r="B20" s="13"/>
      <c r="C20" s="13"/>
      <c r="D20" s="13"/>
      <c r="E20" s="13"/>
      <c r="F20" s="23" t="n">
        <f aca="false">IF(OR($B$5="",$E$6="",$E$5=""),"",IF($B$5&lt;$E$6,MAX($B$5,$E$6-$E$5*A20),MIN($B$5,$E$6+$E$5*A20)))</f>
        <v>18.4</v>
      </c>
      <c r="G20" s="23" t="str">
        <f aca="false">IF(OR(D20="",F20=""),"",D20-F20)</f>
        <v/>
      </c>
      <c r="H20" s="12"/>
      <c r="I20" s="22" t="str">
        <f aca="false">IF(AND(B20&lt;&gt;"",$B$5&lt;&gt;""),IF(ABS(B20-$B$5)&lt;=0.5,1,0),"")</f>
        <v/>
      </c>
      <c r="J20" s="22" t="str">
        <f aca="false">IF(AND(D20&lt;&gt;"",$B$5&lt;&gt;""),IF(ABS(D20-$B$5)&lt;=0.5,1,0),"")</f>
        <v/>
      </c>
    </row>
    <row r="21" customFormat="false" ht="15" hidden="false" customHeight="false" outlineLevel="0" collapsed="false">
      <c r="A21" s="18" t="n">
        <v>11</v>
      </c>
      <c r="B21" s="13"/>
      <c r="C21" s="13"/>
      <c r="D21" s="13"/>
      <c r="E21" s="13"/>
      <c r="F21" s="23" t="n">
        <f aca="false">IF(OR($B$5="",$E$6="",$E$5=""),"",IF($B$5&lt;$E$6,MAX($B$5,$E$6-$E$5*A21),MIN($B$5,$E$6+$E$5*A21)))</f>
        <v>17.9</v>
      </c>
      <c r="G21" s="23" t="str">
        <f aca="false">IF(OR(D21="",F21=""),"",D21-F21)</f>
        <v/>
      </c>
      <c r="H21" s="12"/>
      <c r="I21" s="22" t="str">
        <f aca="false">IF(AND(B21&lt;&gt;"",$B$5&lt;&gt;""),IF(ABS(B21-$B$5)&lt;=0.5,1,0),"")</f>
        <v/>
      </c>
      <c r="J21" s="22" t="str">
        <f aca="false">IF(AND(D21&lt;&gt;"",$B$5&lt;&gt;""),IF(ABS(D21-$B$5)&lt;=0.5,1,0),"")</f>
        <v/>
      </c>
    </row>
    <row r="22" customFormat="false" ht="15" hidden="false" customHeight="false" outlineLevel="0" collapsed="false">
      <c r="A22" s="18" t="n">
        <v>12</v>
      </c>
      <c r="B22" s="13"/>
      <c r="C22" s="13"/>
      <c r="D22" s="13"/>
      <c r="E22" s="13"/>
      <c r="F22" s="23" t="n">
        <f aca="false">IF(OR($B$5="",$E$6="",$E$5=""),"",IF($B$5&lt;$E$6,MAX($B$5,$E$6-$E$5*A22),MIN($B$5,$E$6+$E$5*A22)))</f>
        <v>17.4</v>
      </c>
      <c r="G22" s="23" t="str">
        <f aca="false">IF(OR(D22="",F22=""),"",D22-F22)</f>
        <v/>
      </c>
      <c r="H22" s="12"/>
      <c r="I22" s="22" t="str">
        <f aca="false">IF(AND(B22&lt;&gt;"",$B$5&lt;&gt;""),IF(ABS(B22-$B$5)&lt;=0.5,1,0),"")</f>
        <v/>
      </c>
      <c r="J22" s="22" t="str">
        <f aca="false">IF(AND(D22&lt;&gt;"",$B$5&lt;&gt;""),IF(ABS(D22-$B$5)&lt;=0.5,1,0),"")</f>
        <v/>
      </c>
    </row>
    <row r="23" customFormat="false" ht="15" hidden="false" customHeight="false" outlineLevel="0" collapsed="false">
      <c r="A23" s="18" t="n">
        <v>13</v>
      </c>
      <c r="B23" s="13"/>
      <c r="C23" s="13"/>
      <c r="D23" s="13"/>
      <c r="E23" s="13"/>
      <c r="F23" s="23" t="n">
        <f aca="false">IF(OR($B$5="",$E$6="",$E$5=""),"",IF($B$5&lt;$E$6,MAX($B$5,$E$6-$E$5*A23),MIN($B$5,$E$6+$E$5*A23)))</f>
        <v>16.9</v>
      </c>
      <c r="G23" s="23" t="str">
        <f aca="false">IF(OR(D23="",F23=""),"",D23-F23)</f>
        <v/>
      </c>
      <c r="H23" s="12"/>
      <c r="I23" s="22" t="str">
        <f aca="false">IF(AND(B23&lt;&gt;"",$B$5&lt;&gt;""),IF(ABS(B23-$B$5)&lt;=0.5,1,0),"")</f>
        <v/>
      </c>
      <c r="J23" s="22" t="str">
        <f aca="false">IF(AND(D23&lt;&gt;"",$B$5&lt;&gt;""),IF(ABS(D23-$B$5)&lt;=0.5,1,0),"")</f>
        <v/>
      </c>
    </row>
    <row r="24" customFormat="false" ht="15" hidden="false" customHeight="false" outlineLevel="0" collapsed="false">
      <c r="A24" s="18" t="n">
        <v>14</v>
      </c>
      <c r="B24" s="13"/>
      <c r="C24" s="13"/>
      <c r="D24" s="13"/>
      <c r="E24" s="13"/>
      <c r="F24" s="23" t="n">
        <f aca="false">IF(OR($B$5="",$E$6="",$E$5=""),"",IF($B$5&lt;$E$6,MAX($B$5,$E$6-$E$5*A24),MIN($B$5,$E$6+$E$5*A24)))</f>
        <v>16.4</v>
      </c>
      <c r="G24" s="23" t="str">
        <f aca="false">IF(OR(D24="",F24=""),"",D24-F24)</f>
        <v/>
      </c>
      <c r="H24" s="12"/>
      <c r="I24" s="22" t="str">
        <f aca="false">IF(AND(B24&lt;&gt;"",$B$5&lt;&gt;""),IF(ABS(B24-$B$5)&lt;=0.5,1,0),"")</f>
        <v/>
      </c>
      <c r="J24" s="22" t="str">
        <f aca="false">IF(AND(D24&lt;&gt;"",$B$5&lt;&gt;""),IF(ABS(D24-$B$5)&lt;=0.5,1,0),"")</f>
        <v/>
      </c>
    </row>
    <row r="25" customFormat="false" ht="15" hidden="false" customHeight="false" outlineLevel="0" collapsed="false">
      <c r="A25" s="18" t="n">
        <v>15</v>
      </c>
      <c r="B25" s="13"/>
      <c r="C25" s="13"/>
      <c r="D25" s="13"/>
      <c r="E25" s="13"/>
      <c r="F25" s="23" t="n">
        <f aca="false">IF(OR($B$5="",$E$6="",$E$5=""),"",IF($B$5&lt;$E$6,MAX($B$5,$E$6-$E$5*A25),MIN($B$5,$E$6+$E$5*A25)))</f>
        <v>15.9</v>
      </c>
      <c r="G25" s="23" t="str">
        <f aca="false">IF(OR(D25="",F25=""),"",D25-F25)</f>
        <v/>
      </c>
      <c r="H25" s="12"/>
      <c r="I25" s="22" t="str">
        <f aca="false">IF(AND(B25&lt;&gt;"",$B$5&lt;&gt;""),IF(ABS(B25-$B$5)&lt;=0.5,1,0),"")</f>
        <v/>
      </c>
      <c r="J25" s="22" t="str">
        <f aca="false">IF(AND(D25&lt;&gt;"",$B$5&lt;&gt;""),IF(ABS(D25-$B$5)&lt;=0.5,1,0),"")</f>
        <v/>
      </c>
    </row>
    <row r="26" customFormat="false" ht="15" hidden="false" customHeight="false" outlineLevel="0" collapsed="false">
      <c r="A26" s="18" t="n">
        <v>16</v>
      </c>
      <c r="B26" s="13"/>
      <c r="C26" s="13"/>
      <c r="D26" s="13"/>
      <c r="E26" s="13"/>
      <c r="F26" s="23" t="n">
        <f aca="false">IF(OR($B$5="",$E$6="",$E$5=""),"",IF($B$5&lt;$E$6,MAX($B$5,$E$6-$E$5*A26),MIN($B$5,$E$6+$E$5*A26)))</f>
        <v>15.4</v>
      </c>
      <c r="G26" s="23" t="str">
        <f aca="false">IF(OR(D26="",F26=""),"",D26-F26)</f>
        <v/>
      </c>
      <c r="H26" s="12"/>
      <c r="I26" s="22" t="str">
        <f aca="false">IF(AND(B26&lt;&gt;"",$B$5&lt;&gt;""),IF(ABS(B26-$B$5)&lt;=0.5,1,0),"")</f>
        <v/>
      </c>
      <c r="J26" s="22" t="str">
        <f aca="false">IF(AND(D26&lt;&gt;"",$B$5&lt;&gt;""),IF(ABS(D26-$B$5)&lt;=0.5,1,0),"")</f>
        <v/>
      </c>
    </row>
    <row r="27" customFormat="false" ht="15" hidden="false" customHeight="false" outlineLevel="0" collapsed="false">
      <c r="A27" s="18" t="n">
        <v>17</v>
      </c>
      <c r="B27" s="13"/>
      <c r="C27" s="13"/>
      <c r="D27" s="13"/>
      <c r="E27" s="13"/>
      <c r="F27" s="23" t="n">
        <f aca="false">IF(OR($B$5="",$E$6="",$E$5=""),"",IF($B$5&lt;$E$6,MAX($B$5,$E$6-$E$5*A27),MIN($B$5,$E$6+$E$5*A27)))</f>
        <v>14.9</v>
      </c>
      <c r="G27" s="23" t="str">
        <f aca="false">IF(OR(D27="",F27=""),"",D27-F27)</f>
        <v/>
      </c>
      <c r="H27" s="12"/>
      <c r="I27" s="22" t="str">
        <f aca="false">IF(AND(B27&lt;&gt;"",$B$5&lt;&gt;""),IF(ABS(B27-$B$5)&lt;=0.5,1,0),"")</f>
        <v/>
      </c>
      <c r="J27" s="22" t="str">
        <f aca="false">IF(AND(D27&lt;&gt;"",$B$5&lt;&gt;""),IF(ABS(D27-$B$5)&lt;=0.5,1,0),"")</f>
        <v/>
      </c>
    </row>
    <row r="28" customFormat="false" ht="15" hidden="false" customHeight="false" outlineLevel="0" collapsed="false">
      <c r="A28" s="18" t="n">
        <v>18</v>
      </c>
      <c r="B28" s="13"/>
      <c r="C28" s="13"/>
      <c r="D28" s="13"/>
      <c r="E28" s="13"/>
      <c r="F28" s="23" t="n">
        <f aca="false">IF(OR($B$5="",$E$6="",$E$5=""),"",IF($B$5&lt;$E$6,MAX($B$5,$E$6-$E$5*A28),MIN($B$5,$E$6+$E$5*A28)))</f>
        <v>14.4</v>
      </c>
      <c r="G28" s="23" t="str">
        <f aca="false">IF(OR(D28="",F28=""),"",D28-F28)</f>
        <v/>
      </c>
      <c r="H28" s="12"/>
      <c r="I28" s="22" t="str">
        <f aca="false">IF(AND(B28&lt;&gt;"",$B$5&lt;&gt;""),IF(ABS(B28-$B$5)&lt;=0.5,1,0),"")</f>
        <v/>
      </c>
      <c r="J28" s="22" t="str">
        <f aca="false">IF(AND(D28&lt;&gt;"",$B$5&lt;&gt;""),IF(ABS(D28-$B$5)&lt;=0.5,1,0),"")</f>
        <v/>
      </c>
    </row>
    <row r="29" customFormat="false" ht="15" hidden="false" customHeight="false" outlineLevel="0" collapsed="false">
      <c r="A29" s="18" t="n">
        <v>19</v>
      </c>
      <c r="B29" s="13"/>
      <c r="C29" s="13"/>
      <c r="D29" s="13"/>
      <c r="E29" s="13"/>
      <c r="F29" s="23" t="n">
        <f aca="false">IF(OR($B$5="",$E$6="",$E$5=""),"",IF($B$5&lt;$E$6,MAX($B$5,$E$6-$E$5*A29),MIN($B$5,$E$6+$E$5*A29)))</f>
        <v>13.9</v>
      </c>
      <c r="G29" s="23" t="str">
        <f aca="false">IF(OR(D29="",F29=""),"",D29-F29)</f>
        <v/>
      </c>
      <c r="H29" s="12"/>
      <c r="I29" s="22" t="str">
        <f aca="false">IF(AND(B29&lt;&gt;"",$B$5&lt;&gt;""),IF(ABS(B29-$B$5)&lt;=0.5,1,0),"")</f>
        <v/>
      </c>
      <c r="J29" s="22" t="str">
        <f aca="false">IF(AND(D29&lt;&gt;"",$B$5&lt;&gt;""),IF(ABS(D29-$B$5)&lt;=0.5,1,0),"")</f>
        <v/>
      </c>
    </row>
    <row r="30" customFormat="false" ht="15" hidden="false" customHeight="false" outlineLevel="0" collapsed="false">
      <c r="A30" s="18" t="n">
        <v>20</v>
      </c>
      <c r="B30" s="13"/>
      <c r="C30" s="13"/>
      <c r="D30" s="13"/>
      <c r="E30" s="13"/>
      <c r="F30" s="23" t="n">
        <f aca="false">IF(OR($B$5="",$E$6="",$E$5=""),"",IF($B$5&lt;$E$6,MAX($B$5,$E$6-$E$5*A30),MIN($B$5,$E$6+$E$5*A30)))</f>
        <v>13.4</v>
      </c>
      <c r="G30" s="23" t="str">
        <f aca="false">IF(OR(D30="",F30=""),"",D30-F30)</f>
        <v/>
      </c>
      <c r="H30" s="12"/>
      <c r="I30" s="22" t="str">
        <f aca="false">IF(AND(B30&lt;&gt;"",$B$5&lt;&gt;""),IF(ABS(B30-$B$5)&lt;=0.5,1,0),"")</f>
        <v/>
      </c>
      <c r="J30" s="22" t="str">
        <f aca="false">IF(AND(D30&lt;&gt;"",$B$5&lt;&gt;""),IF(ABS(D30-$B$5)&lt;=0.5,1,0),"")</f>
        <v/>
      </c>
    </row>
    <row r="31" customFormat="false" ht="15" hidden="false" customHeight="false" outlineLevel="0" collapsed="false">
      <c r="A31" s="18" t="n">
        <v>21</v>
      </c>
      <c r="B31" s="13"/>
      <c r="C31" s="13"/>
      <c r="D31" s="13"/>
      <c r="E31" s="13"/>
      <c r="F31" s="23" t="n">
        <f aca="false">IF(OR($B$5="",$E$6="",$E$5=""),"",IF($B$5&lt;$E$6,MAX($B$5,$E$6-$E$5*A31),MIN($B$5,$E$6+$E$5*A31)))</f>
        <v>12.9</v>
      </c>
      <c r="G31" s="23" t="str">
        <f aca="false">IF(OR(D31="",F31=""),"",D31-F31)</f>
        <v/>
      </c>
      <c r="H31" s="12"/>
      <c r="I31" s="22" t="str">
        <f aca="false">IF(AND(B31&lt;&gt;"",$B$5&lt;&gt;""),IF(ABS(B31-$B$5)&lt;=0.5,1,0),"")</f>
        <v/>
      </c>
      <c r="J31" s="22" t="str">
        <f aca="false">IF(AND(D31&lt;&gt;"",$B$5&lt;&gt;""),IF(ABS(D31-$B$5)&lt;=0.5,1,0),"")</f>
        <v/>
      </c>
    </row>
    <row r="32" customFormat="false" ht="15" hidden="false" customHeight="false" outlineLevel="0" collapsed="false">
      <c r="A32" s="18" t="n">
        <v>22</v>
      </c>
      <c r="B32" s="13"/>
      <c r="C32" s="13"/>
      <c r="D32" s="13"/>
      <c r="E32" s="13"/>
      <c r="F32" s="23" t="n">
        <f aca="false">IF(OR($B$5="",$E$6="",$E$5=""),"",IF($B$5&lt;$E$6,MAX($B$5,$E$6-$E$5*A32),MIN($B$5,$E$6+$E$5*A32)))</f>
        <v>12.4</v>
      </c>
      <c r="G32" s="23" t="str">
        <f aca="false">IF(OR(D32="",F32=""),"",D32-F32)</f>
        <v/>
      </c>
      <c r="H32" s="12"/>
      <c r="I32" s="22" t="str">
        <f aca="false">IF(AND(B32&lt;&gt;"",$B$5&lt;&gt;""),IF(ABS(B32-$B$5)&lt;=0.5,1,0),"")</f>
        <v/>
      </c>
      <c r="J32" s="22" t="str">
        <f aca="false">IF(AND(D32&lt;&gt;"",$B$5&lt;&gt;""),IF(ABS(D32-$B$5)&lt;=0.5,1,0),"")</f>
        <v/>
      </c>
    </row>
    <row r="33" customFormat="false" ht="15" hidden="false" customHeight="false" outlineLevel="0" collapsed="false">
      <c r="A33" s="18" t="n">
        <v>23</v>
      </c>
      <c r="B33" s="13"/>
      <c r="C33" s="13"/>
      <c r="D33" s="13"/>
      <c r="E33" s="13"/>
      <c r="F33" s="23" t="n">
        <f aca="false">IF(OR($B$5="",$E$6="",$E$5=""),"",IF($B$5&lt;$E$6,MAX($B$5,$E$6-$E$5*A33),MIN($B$5,$E$6+$E$5*A33)))</f>
        <v>11.9</v>
      </c>
      <c r="G33" s="23" t="str">
        <f aca="false">IF(OR(D33="",F33=""),"",D33-F33)</f>
        <v/>
      </c>
      <c r="H33" s="12"/>
      <c r="I33" s="22" t="str">
        <f aca="false">IF(AND(B33&lt;&gt;"",$B$5&lt;&gt;""),IF(ABS(B33-$B$5)&lt;=0.5,1,0),"")</f>
        <v/>
      </c>
      <c r="J33" s="22" t="str">
        <f aca="false">IF(AND(D33&lt;&gt;"",$B$5&lt;&gt;""),IF(ABS(D33-$B$5)&lt;=0.5,1,0),"")</f>
        <v/>
      </c>
    </row>
    <row r="34" customFormat="false" ht="15" hidden="false" customHeight="false" outlineLevel="0" collapsed="false">
      <c r="A34" s="18" t="n">
        <v>24</v>
      </c>
      <c r="B34" s="13"/>
      <c r="C34" s="13"/>
      <c r="D34" s="13"/>
      <c r="E34" s="13"/>
      <c r="F34" s="23" t="n">
        <f aca="false">IF(OR($B$5="",$E$6="",$E$5=""),"",IF($B$5&lt;$E$6,MAX($B$5,$E$6-$E$5*A34),MIN($B$5,$E$6+$E$5*A34)))</f>
        <v>11.4</v>
      </c>
      <c r="G34" s="23" t="str">
        <f aca="false">IF(OR(D34="",F34=""),"",D34-F34)</f>
        <v/>
      </c>
      <c r="H34" s="12"/>
      <c r="I34" s="22" t="str">
        <f aca="false">IF(AND(B34&lt;&gt;"",$B$5&lt;&gt;""),IF(ABS(B34-$B$5)&lt;=0.5,1,0),"")</f>
        <v/>
      </c>
      <c r="J34" s="22" t="str">
        <f aca="false">IF(AND(D34&lt;&gt;"",$B$5&lt;&gt;""),IF(ABS(D34-$B$5)&lt;=0.5,1,0),"")</f>
        <v/>
      </c>
    </row>
    <row r="35" customFormat="false" ht="15" hidden="false" customHeight="false" outlineLevel="0" collapsed="false">
      <c r="A35" s="18" t="n">
        <v>25</v>
      </c>
      <c r="B35" s="13"/>
      <c r="C35" s="13"/>
      <c r="D35" s="13"/>
      <c r="E35" s="13"/>
      <c r="F35" s="23" t="n">
        <f aca="false">IF(OR($B$5="",$E$6="",$E$5=""),"",IF($B$5&lt;$E$6,MAX($B$5,$E$6-$E$5*A35),MIN($B$5,$E$6+$E$5*A35)))</f>
        <v>10.9</v>
      </c>
      <c r="G35" s="23" t="str">
        <f aca="false">IF(OR(D35="",F35=""),"",D35-F35)</f>
        <v/>
      </c>
      <c r="H35" s="12"/>
      <c r="I35" s="22" t="str">
        <f aca="false">IF(AND(B35&lt;&gt;"",$B$5&lt;&gt;""),IF(ABS(B35-$B$5)&lt;=0.5,1,0),"")</f>
        <v/>
      </c>
      <c r="J35" s="22" t="str">
        <f aca="false">IF(AND(D35&lt;&gt;"",$B$5&lt;&gt;""),IF(ABS(D35-$B$5)&lt;=0.5,1,0),"")</f>
        <v/>
      </c>
    </row>
    <row r="36" customFormat="false" ht="15" hidden="false" customHeight="false" outlineLevel="0" collapsed="false">
      <c r="A36" s="18" t="n">
        <v>26</v>
      </c>
      <c r="B36" s="13"/>
      <c r="C36" s="13"/>
      <c r="D36" s="13"/>
      <c r="E36" s="13"/>
      <c r="F36" s="23" t="n">
        <f aca="false">IF(OR($B$5="",$E$6="",$E$5=""),"",IF($B$5&lt;$E$6,MAX($B$5,$E$6-$E$5*A36),MIN($B$5,$E$6+$E$5*A36)))</f>
        <v>10.4</v>
      </c>
      <c r="G36" s="23" t="str">
        <f aca="false">IF(OR(D36="",F36=""),"",D36-F36)</f>
        <v/>
      </c>
      <c r="H36" s="12"/>
      <c r="I36" s="22" t="str">
        <f aca="false">IF(AND(B36&lt;&gt;"",$B$5&lt;&gt;""),IF(ABS(B36-$B$5)&lt;=0.5,1,0),"")</f>
        <v/>
      </c>
      <c r="J36" s="22" t="str">
        <f aca="false">IF(AND(D36&lt;&gt;"",$B$5&lt;&gt;""),IF(ABS(D36-$B$5)&lt;=0.5,1,0),"")</f>
        <v/>
      </c>
    </row>
    <row r="37" customFormat="false" ht="15" hidden="false" customHeight="false" outlineLevel="0" collapsed="false">
      <c r="A37" s="18" t="n">
        <v>27</v>
      </c>
      <c r="B37" s="13"/>
      <c r="C37" s="13"/>
      <c r="D37" s="13"/>
      <c r="E37" s="13"/>
      <c r="F37" s="23" t="n">
        <f aca="false">IF(OR($B$5="",$E$6="",$E$5=""),"",IF($B$5&lt;$E$6,MAX($B$5,$E$6-$E$5*A37),MIN($B$5,$E$6+$E$5*A37)))</f>
        <v>9.9</v>
      </c>
      <c r="G37" s="23" t="str">
        <f aca="false">IF(OR(D37="",F37=""),"",D37-F37)</f>
        <v/>
      </c>
      <c r="H37" s="12"/>
      <c r="I37" s="22" t="str">
        <f aca="false">IF(AND(B37&lt;&gt;"",$B$5&lt;&gt;""),IF(ABS(B37-$B$5)&lt;=0.5,1,0),"")</f>
        <v/>
      </c>
      <c r="J37" s="22" t="str">
        <f aca="false">IF(AND(D37&lt;&gt;"",$B$5&lt;&gt;""),IF(ABS(D37-$B$5)&lt;=0.5,1,0),"")</f>
        <v/>
      </c>
    </row>
    <row r="38" customFormat="false" ht="15" hidden="false" customHeight="false" outlineLevel="0" collapsed="false">
      <c r="A38" s="18" t="n">
        <v>28</v>
      </c>
      <c r="B38" s="13"/>
      <c r="C38" s="13"/>
      <c r="D38" s="13"/>
      <c r="E38" s="13"/>
      <c r="F38" s="23" t="n">
        <f aca="false">IF(OR($B$5="",$E$6="",$E$5=""),"",IF($B$5&lt;$E$6,MAX($B$5,$E$6-$E$5*A38),MIN($B$5,$E$6+$E$5*A38)))</f>
        <v>9.4</v>
      </c>
      <c r="G38" s="23" t="str">
        <f aca="false">IF(OR(D38="",F38=""),"",D38-F38)</f>
        <v/>
      </c>
      <c r="H38" s="12"/>
      <c r="I38" s="22" t="str">
        <f aca="false">IF(AND(B38&lt;&gt;"",$B$5&lt;&gt;""),IF(ABS(B38-$B$5)&lt;=0.5,1,0),"")</f>
        <v/>
      </c>
      <c r="J38" s="22" t="str">
        <f aca="false">IF(AND(D38&lt;&gt;"",$B$5&lt;&gt;""),IF(ABS(D38-$B$5)&lt;=0.5,1,0),"")</f>
        <v/>
      </c>
    </row>
    <row r="39" customFormat="false" ht="15" hidden="false" customHeight="false" outlineLevel="0" collapsed="false">
      <c r="A39" s="18" t="n">
        <v>29</v>
      </c>
      <c r="B39" s="13"/>
      <c r="C39" s="13"/>
      <c r="D39" s="13"/>
      <c r="E39" s="13"/>
      <c r="F39" s="23" t="n">
        <f aca="false">IF(OR($B$5="",$E$6="",$E$5=""),"",IF($B$5&lt;$E$6,MAX($B$5,$E$6-$E$5*A39),MIN($B$5,$E$6+$E$5*A39)))</f>
        <v>8.9</v>
      </c>
      <c r="G39" s="23" t="str">
        <f aca="false">IF(OR(D39="",F39=""),"",D39-F39)</f>
        <v/>
      </c>
      <c r="H39" s="12"/>
      <c r="I39" s="22" t="str">
        <f aca="false">IF(AND(B39&lt;&gt;"",$B$5&lt;&gt;""),IF(ABS(B39-$B$5)&lt;=0.5,1,0),"")</f>
        <v/>
      </c>
      <c r="J39" s="22" t="str">
        <f aca="false">IF(AND(D39&lt;&gt;"",$B$5&lt;&gt;""),IF(ABS(D39-$B$5)&lt;=0.5,1,0),"")</f>
        <v/>
      </c>
    </row>
    <row r="40" customFormat="false" ht="15" hidden="false" customHeight="false" outlineLevel="0" collapsed="false">
      <c r="A40" s="18" t="n">
        <v>30</v>
      </c>
      <c r="B40" s="13"/>
      <c r="C40" s="13"/>
      <c r="D40" s="13"/>
      <c r="E40" s="13"/>
      <c r="F40" s="23" t="n">
        <f aca="false">IF(OR($B$5="",$E$6="",$E$5=""),"",IF($B$5&lt;$E$6,MAX($B$5,$E$6-$E$5*A40),MIN($B$5,$E$6+$E$5*A40)))</f>
        <v>8.4</v>
      </c>
      <c r="G40" s="23" t="str">
        <f aca="false">IF(OR(D40="",F40=""),"",D40-F40)</f>
        <v/>
      </c>
      <c r="H40" s="12"/>
      <c r="I40" s="22" t="str">
        <f aca="false">IF(AND(B40&lt;&gt;"",$B$5&lt;&gt;""),IF(ABS(B40-$B$5)&lt;=0.5,1,0),"")</f>
        <v/>
      </c>
      <c r="J40" s="22" t="str">
        <f aca="false">IF(AND(D40&lt;&gt;"",$B$5&lt;&gt;""),IF(ABS(D40-$B$5)&lt;=0.5,1,0),"")</f>
        <v/>
      </c>
    </row>
    <row r="41" customFormat="false" ht="15" hidden="false" customHeight="false" outlineLevel="0" collapsed="false">
      <c r="A41" s="18" t="n">
        <v>31</v>
      </c>
      <c r="B41" s="13"/>
      <c r="C41" s="13"/>
      <c r="D41" s="13"/>
      <c r="E41" s="13"/>
      <c r="F41" s="23" t="n">
        <f aca="false">IF(OR($B$5="",$E$6="",$E$5=""),"",IF($B$5&lt;$E$6,MAX($B$5,$E$6-$E$5*A41),MIN($B$5,$E$6+$E$5*A41)))</f>
        <v>7.9</v>
      </c>
      <c r="G41" s="23" t="str">
        <f aca="false">IF(OR(D41="",F41=""),"",D41-F41)</f>
        <v/>
      </c>
      <c r="H41" s="12"/>
      <c r="I41" s="22" t="str">
        <f aca="false">IF(AND(B41&lt;&gt;"",$B$5&lt;&gt;""),IF(ABS(B41-$B$5)&lt;=0.5,1,0),"")</f>
        <v/>
      </c>
      <c r="J41" s="22" t="str">
        <f aca="false">IF(AND(D41&lt;&gt;"",$B$5&lt;&gt;""),IF(ABS(D41-$B$5)&lt;=0.5,1,0),"")</f>
        <v/>
      </c>
    </row>
    <row r="42" customFormat="false" ht="15" hidden="false" customHeight="false" outlineLevel="0" collapsed="false">
      <c r="A42" s="18" t="n">
        <v>32</v>
      </c>
      <c r="B42" s="13"/>
      <c r="C42" s="13"/>
      <c r="D42" s="13"/>
      <c r="E42" s="13"/>
      <c r="F42" s="23" t="n">
        <f aca="false">IF(OR($B$5="",$E$6="",$E$5=""),"",IF($B$5&lt;$E$6,MAX($B$5,$E$6-$E$5*A42),MIN($B$5,$E$6+$E$5*A42)))</f>
        <v>7.4</v>
      </c>
      <c r="G42" s="23" t="str">
        <f aca="false">IF(OR(D42="",F42=""),"",D42-F42)</f>
        <v/>
      </c>
      <c r="H42" s="12"/>
      <c r="I42" s="22" t="str">
        <f aca="false">IF(AND(B42&lt;&gt;"",$B$5&lt;&gt;""),IF(ABS(B42-$B$5)&lt;=0.5,1,0),"")</f>
        <v/>
      </c>
      <c r="J42" s="22" t="str">
        <f aca="false">IF(AND(D42&lt;&gt;"",$B$5&lt;&gt;""),IF(ABS(D42-$B$5)&lt;=0.5,1,0),"")</f>
        <v/>
      </c>
    </row>
    <row r="43" customFormat="false" ht="15" hidden="false" customHeight="false" outlineLevel="0" collapsed="false">
      <c r="A43" s="18" t="n">
        <v>33</v>
      </c>
      <c r="B43" s="13"/>
      <c r="C43" s="13"/>
      <c r="D43" s="13"/>
      <c r="E43" s="13"/>
      <c r="F43" s="23" t="n">
        <f aca="false">IF(OR($B$5="",$E$6="",$E$5=""),"",IF($B$5&lt;$E$6,MAX($B$5,$E$6-$E$5*A43),MIN($B$5,$E$6+$E$5*A43)))</f>
        <v>6.9</v>
      </c>
      <c r="G43" s="23" t="str">
        <f aca="false">IF(OR(D43="",F43=""),"",D43-F43)</f>
        <v/>
      </c>
      <c r="H43" s="12"/>
      <c r="I43" s="22" t="str">
        <f aca="false">IF(AND(B43&lt;&gt;"",$B$5&lt;&gt;""),IF(ABS(B43-$B$5)&lt;=0.5,1,0),"")</f>
        <v/>
      </c>
      <c r="J43" s="22" t="str">
        <f aca="false">IF(AND(D43&lt;&gt;"",$B$5&lt;&gt;""),IF(ABS(D43-$B$5)&lt;=0.5,1,0),"")</f>
        <v/>
      </c>
    </row>
    <row r="44" customFormat="false" ht="15" hidden="false" customHeight="false" outlineLevel="0" collapsed="false">
      <c r="A44" s="18" t="n">
        <v>34</v>
      </c>
      <c r="B44" s="13"/>
      <c r="C44" s="13"/>
      <c r="D44" s="13"/>
      <c r="E44" s="13"/>
      <c r="F44" s="23" t="n">
        <f aca="false">IF(OR($B$5="",$E$6="",$E$5=""),"",IF($B$5&lt;$E$6,MAX($B$5,$E$6-$E$5*A44),MIN($B$5,$E$6+$E$5*A44)))</f>
        <v>6.4</v>
      </c>
      <c r="G44" s="23" t="str">
        <f aca="false">IF(OR(D44="",F44=""),"",D44-F44)</f>
        <v/>
      </c>
      <c r="H44" s="12"/>
      <c r="I44" s="22" t="str">
        <f aca="false">IF(AND(B44&lt;&gt;"",$B$5&lt;&gt;""),IF(ABS(B44-$B$5)&lt;=0.5,1,0),"")</f>
        <v/>
      </c>
      <c r="J44" s="22" t="str">
        <f aca="false">IF(AND(D44&lt;&gt;"",$B$5&lt;&gt;""),IF(ABS(D44-$B$5)&lt;=0.5,1,0),"")</f>
        <v/>
      </c>
    </row>
    <row r="45" customFormat="false" ht="15" hidden="false" customHeight="false" outlineLevel="0" collapsed="false">
      <c r="A45" s="18" t="n">
        <v>35</v>
      </c>
      <c r="B45" s="13"/>
      <c r="C45" s="13"/>
      <c r="D45" s="13"/>
      <c r="E45" s="13"/>
      <c r="F45" s="23" t="n">
        <f aca="false">IF(OR($B$5="",$E$6="",$E$5=""),"",IF($B$5&lt;$E$6,MAX($B$5,$E$6-$E$5*A45),MIN($B$5,$E$6+$E$5*A45)))</f>
        <v>5.9</v>
      </c>
      <c r="G45" s="23" t="str">
        <f aca="false">IF(OR(D45="",F45=""),"",D45-F45)</f>
        <v/>
      </c>
      <c r="H45" s="12"/>
      <c r="I45" s="22" t="str">
        <f aca="false">IF(AND(B45&lt;&gt;"",$B$5&lt;&gt;""),IF(ABS(B45-$B$5)&lt;=0.5,1,0),"")</f>
        <v/>
      </c>
      <c r="J45" s="22" t="str">
        <f aca="false">IF(AND(D45&lt;&gt;"",$B$5&lt;&gt;""),IF(ABS(D45-$B$5)&lt;=0.5,1,0),"")</f>
        <v/>
      </c>
    </row>
    <row r="46" customFormat="false" ht="15" hidden="false" customHeight="false" outlineLevel="0" collapsed="false">
      <c r="A46" s="18" t="n">
        <v>36</v>
      </c>
      <c r="B46" s="13"/>
      <c r="C46" s="13"/>
      <c r="D46" s="13"/>
      <c r="E46" s="13"/>
      <c r="F46" s="23" t="n">
        <f aca="false">IF(OR($B$5="",$E$6="",$E$5=""),"",IF($B$5&lt;$E$6,MAX($B$5,$E$6-$E$5*A46),MIN($B$5,$E$6+$E$5*A46)))</f>
        <v>5.4</v>
      </c>
      <c r="G46" s="23" t="str">
        <f aca="false">IF(OR(D46="",F46=""),"",D46-F46)</f>
        <v/>
      </c>
      <c r="H46" s="12"/>
      <c r="I46" s="22" t="str">
        <f aca="false">IF(AND(B46&lt;&gt;"",$B$5&lt;&gt;""),IF(ABS(B46-$B$5)&lt;=0.5,1,0),"")</f>
        <v/>
      </c>
      <c r="J46" s="22" t="str">
        <f aca="false">IF(AND(D46&lt;&gt;"",$B$5&lt;&gt;""),IF(ABS(D46-$B$5)&lt;=0.5,1,0),"")</f>
        <v/>
      </c>
    </row>
    <row r="47" customFormat="false" ht="15" hidden="false" customHeight="false" outlineLevel="0" collapsed="false">
      <c r="A47" s="18" t="n">
        <v>37</v>
      </c>
      <c r="B47" s="13"/>
      <c r="C47" s="13"/>
      <c r="D47" s="13"/>
      <c r="E47" s="13"/>
      <c r="F47" s="23" t="n">
        <f aca="false">IF(OR($B$5="",$E$6="",$E$5=""),"",IF($B$5&lt;$E$6,MAX($B$5,$E$6-$E$5*A47),MIN($B$5,$E$6+$E$5*A47)))</f>
        <v>4.9</v>
      </c>
      <c r="G47" s="23" t="str">
        <f aca="false">IF(OR(D47="",F47=""),"",D47-F47)</f>
        <v/>
      </c>
      <c r="H47" s="12"/>
      <c r="I47" s="22" t="str">
        <f aca="false">IF(AND(B47&lt;&gt;"",$B$5&lt;&gt;""),IF(ABS(B47-$B$5)&lt;=0.5,1,0),"")</f>
        <v/>
      </c>
      <c r="J47" s="22" t="str">
        <f aca="false">IF(AND(D47&lt;&gt;"",$B$5&lt;&gt;""),IF(ABS(D47-$B$5)&lt;=0.5,1,0),"")</f>
        <v/>
      </c>
    </row>
    <row r="48" customFormat="false" ht="15" hidden="false" customHeight="false" outlineLevel="0" collapsed="false">
      <c r="A48" s="18" t="n">
        <v>38</v>
      </c>
      <c r="B48" s="13"/>
      <c r="C48" s="13"/>
      <c r="D48" s="13"/>
      <c r="E48" s="13"/>
      <c r="F48" s="23" t="n">
        <f aca="false">IF(OR($B$5="",$E$6="",$E$5=""),"",IF($B$5&lt;$E$6,MAX($B$5,$E$6-$E$5*A48),MIN($B$5,$E$6+$E$5*A48)))</f>
        <v>4.4</v>
      </c>
      <c r="G48" s="23" t="str">
        <f aca="false">IF(OR(D48="",F48=""),"",D48-F48)</f>
        <v/>
      </c>
      <c r="H48" s="12"/>
      <c r="I48" s="22" t="str">
        <f aca="false">IF(AND(B48&lt;&gt;"",$B$5&lt;&gt;""),IF(ABS(B48-$B$5)&lt;=0.5,1,0),"")</f>
        <v/>
      </c>
      <c r="J48" s="22" t="str">
        <f aca="false">IF(AND(D48&lt;&gt;"",$B$5&lt;&gt;""),IF(ABS(D48-$B$5)&lt;=0.5,1,0),"")</f>
        <v/>
      </c>
    </row>
    <row r="49" customFormat="false" ht="15" hidden="false" customHeight="false" outlineLevel="0" collapsed="false">
      <c r="A49" s="18" t="n">
        <v>39</v>
      </c>
      <c r="B49" s="13"/>
      <c r="C49" s="13"/>
      <c r="D49" s="13"/>
      <c r="E49" s="13"/>
      <c r="F49" s="23" t="n">
        <f aca="false">IF(OR($B$5="",$E$6="",$E$5=""),"",IF($B$5&lt;$E$6,MAX($B$5,$E$6-$E$5*A49),MIN($B$5,$E$6+$E$5*A49)))</f>
        <v>3.9</v>
      </c>
      <c r="G49" s="23" t="str">
        <f aca="false">IF(OR(D49="",F49=""),"",D49-F49)</f>
        <v/>
      </c>
      <c r="H49" s="12"/>
      <c r="I49" s="22" t="str">
        <f aca="false">IF(AND(B49&lt;&gt;"",$B$5&lt;&gt;""),IF(ABS(B49-$B$5)&lt;=0.5,1,0),"")</f>
        <v/>
      </c>
      <c r="J49" s="22" t="str">
        <f aca="false">IF(AND(D49&lt;&gt;"",$B$5&lt;&gt;""),IF(ABS(D49-$B$5)&lt;=0.5,1,0),"")</f>
        <v/>
      </c>
    </row>
    <row r="50" customFormat="false" ht="15" hidden="false" customHeight="false" outlineLevel="0" collapsed="false">
      <c r="A50" s="18" t="n">
        <v>40</v>
      </c>
      <c r="B50" s="13"/>
      <c r="C50" s="13"/>
      <c r="D50" s="13"/>
      <c r="E50" s="13"/>
      <c r="F50" s="23" t="n">
        <f aca="false">IF(OR($B$5="",$E$6="",$E$5=""),"",IF($B$5&lt;$E$6,MAX($B$5,$E$6-$E$5*A50),MIN($B$5,$E$6+$E$5*A50)))</f>
        <v>3.4</v>
      </c>
      <c r="G50" s="23" t="str">
        <f aca="false">IF(OR(D50="",F50=""),"",D50-F50)</f>
        <v/>
      </c>
      <c r="H50" s="12"/>
      <c r="I50" s="22" t="str">
        <f aca="false">IF(AND(B50&lt;&gt;"",$B$5&lt;&gt;""),IF(ABS(B50-$B$5)&lt;=0.5,1,0),"")</f>
        <v/>
      </c>
      <c r="J50" s="22" t="str">
        <f aca="false">IF(AND(D50&lt;&gt;"",$B$5&lt;&gt;""),IF(ABS(D50-$B$5)&lt;=0.5,1,0),"")</f>
        <v/>
      </c>
    </row>
    <row r="51" customFormat="false" ht="15" hidden="false" customHeight="false" outlineLevel="0" collapsed="false">
      <c r="A51" s="18" t="n">
        <v>41</v>
      </c>
      <c r="B51" s="13"/>
      <c r="C51" s="13"/>
      <c r="D51" s="13"/>
      <c r="E51" s="13"/>
      <c r="F51" s="23" t="n">
        <f aca="false">IF(OR($B$5="",$E$6="",$E$5=""),"",IF($B$5&lt;$E$6,MAX($B$5,$E$6-$E$5*A51),MIN($B$5,$E$6+$E$5*A51)))</f>
        <v>2.9</v>
      </c>
      <c r="G51" s="23" t="str">
        <f aca="false">IF(OR(D51="",F51=""),"",D51-F51)</f>
        <v/>
      </c>
      <c r="H51" s="12"/>
      <c r="I51" s="22" t="str">
        <f aca="false">IF(AND(B51&lt;&gt;"",$B$5&lt;&gt;""),IF(ABS(B51-$B$5)&lt;=0.5,1,0),"")</f>
        <v/>
      </c>
      <c r="J51" s="22" t="str">
        <f aca="false">IF(AND(D51&lt;&gt;"",$B$5&lt;&gt;""),IF(ABS(D51-$B$5)&lt;=0.5,1,0),"")</f>
        <v/>
      </c>
    </row>
    <row r="52" customFormat="false" ht="15" hidden="false" customHeight="false" outlineLevel="0" collapsed="false">
      <c r="A52" s="18" t="n">
        <v>42</v>
      </c>
      <c r="B52" s="13"/>
      <c r="C52" s="13"/>
      <c r="D52" s="13"/>
      <c r="E52" s="13"/>
      <c r="F52" s="23" t="n">
        <f aca="false">IF(OR($B$5="",$E$6="",$E$5=""),"",IF($B$5&lt;$E$6,MAX($B$5,$E$6-$E$5*A52),MIN($B$5,$E$6+$E$5*A52)))</f>
        <v>2.4</v>
      </c>
      <c r="G52" s="23" t="str">
        <f aca="false">IF(OR(D52="",F52=""),"",D52-F52)</f>
        <v/>
      </c>
      <c r="H52" s="12"/>
      <c r="I52" s="22" t="str">
        <f aca="false">IF(AND(B52&lt;&gt;"",$B$5&lt;&gt;""),IF(ABS(B52-$B$5)&lt;=0.5,1,0),"")</f>
        <v/>
      </c>
      <c r="J52" s="22" t="str">
        <f aca="false">IF(AND(D52&lt;&gt;"",$B$5&lt;&gt;""),IF(ABS(D52-$B$5)&lt;=0.5,1,0),"")</f>
        <v/>
      </c>
    </row>
    <row r="53" customFormat="false" ht="15" hidden="false" customHeight="false" outlineLevel="0" collapsed="false">
      <c r="A53" s="18" t="n">
        <v>43</v>
      </c>
      <c r="B53" s="13"/>
      <c r="C53" s="13"/>
      <c r="D53" s="13"/>
      <c r="E53" s="13"/>
      <c r="F53" s="23" t="n">
        <f aca="false">IF(OR($B$5="",$E$6="",$E$5=""),"",IF($B$5&lt;$E$6,MAX($B$5,$E$6-$E$5*A53),MIN($B$5,$E$6+$E$5*A53)))</f>
        <v>1.9</v>
      </c>
      <c r="G53" s="23" t="str">
        <f aca="false">IF(OR(D53="",F53=""),"",D53-F53)</f>
        <v/>
      </c>
      <c r="H53" s="12"/>
      <c r="I53" s="22" t="str">
        <f aca="false">IF(AND(B53&lt;&gt;"",$B$5&lt;&gt;""),IF(ABS(B53-$B$5)&lt;=0.5,1,0),"")</f>
        <v/>
      </c>
      <c r="J53" s="22" t="str">
        <f aca="false">IF(AND(D53&lt;&gt;"",$B$5&lt;&gt;""),IF(ABS(D53-$B$5)&lt;=0.5,1,0),"")</f>
        <v/>
      </c>
    </row>
    <row r="54" customFormat="false" ht="15" hidden="false" customHeight="false" outlineLevel="0" collapsed="false">
      <c r="A54" s="18" t="n">
        <v>44</v>
      </c>
      <c r="B54" s="13"/>
      <c r="C54" s="13"/>
      <c r="D54" s="13"/>
      <c r="E54" s="13"/>
      <c r="F54" s="23" t="n">
        <f aca="false">IF(OR($B$5="",$E$6="",$E$5=""),"",IF($B$5&lt;$E$6,MAX($B$5,$E$6-$E$5*A54),MIN($B$5,$E$6+$E$5*A54)))</f>
        <v>1.4</v>
      </c>
      <c r="G54" s="23" t="str">
        <f aca="false">IF(OR(D54="",F54=""),"",D54-F54)</f>
        <v/>
      </c>
      <c r="H54" s="12"/>
      <c r="I54" s="22" t="str">
        <f aca="false">IF(AND(B54&lt;&gt;"",$B$5&lt;&gt;""),IF(ABS(B54-$B$5)&lt;=0.5,1,0),"")</f>
        <v/>
      </c>
      <c r="J54" s="22" t="str">
        <f aca="false">IF(AND(D54&lt;&gt;"",$B$5&lt;&gt;""),IF(ABS(D54-$B$5)&lt;=0.5,1,0),"")</f>
        <v/>
      </c>
    </row>
    <row r="55" customFormat="false" ht="15" hidden="false" customHeight="false" outlineLevel="0" collapsed="false">
      <c r="A55" s="18" t="n">
        <v>45</v>
      </c>
      <c r="B55" s="13"/>
      <c r="C55" s="13"/>
      <c r="D55" s="13"/>
      <c r="E55" s="13"/>
      <c r="F55" s="23" t="n">
        <f aca="false">IF(OR($B$5="",$E$6="",$E$5=""),"",IF($B$5&lt;$E$6,MAX($B$5,$E$6-$E$5*A55),MIN($B$5,$E$6+$E$5*A55)))</f>
        <v>0.899999999999999</v>
      </c>
      <c r="G55" s="23" t="str">
        <f aca="false">IF(OR(D55="",F55=""),"",D55-F55)</f>
        <v/>
      </c>
      <c r="H55" s="12"/>
      <c r="I55" s="22" t="str">
        <f aca="false">IF(AND(B55&lt;&gt;"",$B$5&lt;&gt;""),IF(ABS(B55-$B$5)&lt;=0.5,1,0),"")</f>
        <v/>
      </c>
      <c r="J55" s="22" t="str">
        <f aca="false">IF(AND(D55&lt;&gt;"",$B$5&lt;&gt;""),IF(ABS(D55-$B$5)&lt;=0.5,1,0),"")</f>
        <v/>
      </c>
    </row>
    <row r="56" customFormat="false" ht="15" hidden="false" customHeight="false" outlineLevel="0" collapsed="false">
      <c r="A56" s="18" t="n">
        <v>46</v>
      </c>
      <c r="B56" s="13"/>
      <c r="C56" s="13"/>
      <c r="D56" s="13"/>
      <c r="E56" s="13"/>
      <c r="F56" s="23" t="n">
        <f aca="false">IF(OR($B$5="",$E$6="",$E$5=""),"",IF($B$5&lt;$E$6,MAX($B$5,$E$6-$E$5*A56),MIN($B$5,$E$6+$E$5*A56)))</f>
        <v>0.399999999999999</v>
      </c>
      <c r="G56" s="23" t="str">
        <f aca="false">IF(OR(D56="",F56=""),"",D56-F56)</f>
        <v/>
      </c>
      <c r="H56" s="12"/>
      <c r="I56" s="22" t="str">
        <f aca="false">IF(AND(B56&lt;&gt;"",$B$5&lt;&gt;""),IF(ABS(B56-$B$5)&lt;=0.5,1,0),"")</f>
        <v/>
      </c>
      <c r="J56" s="22" t="str">
        <f aca="false">IF(AND(D56&lt;&gt;"",$B$5&lt;&gt;""),IF(ABS(D56-$B$5)&lt;=0.5,1,0),"")</f>
        <v/>
      </c>
    </row>
    <row r="57" customFormat="false" ht="15" hidden="false" customHeight="false" outlineLevel="0" collapsed="false">
      <c r="A57" s="18" t="n">
        <v>47</v>
      </c>
      <c r="B57" s="13"/>
      <c r="C57" s="13"/>
      <c r="D57" s="13"/>
      <c r="E57" s="13"/>
      <c r="F57" s="23" t="n">
        <f aca="false">IF(OR($B$5="",$E$6="",$E$5=""),"",IF($B$5&lt;$E$6,MAX($B$5,$E$6-$E$5*A57),MIN($B$5,$E$6+$E$5*A57)))</f>
        <v>0</v>
      </c>
      <c r="G57" s="23" t="str">
        <f aca="false">IF(OR(D57="",F57=""),"",D57-F57)</f>
        <v/>
      </c>
      <c r="H57" s="12"/>
      <c r="I57" s="22" t="str">
        <f aca="false">IF(AND(B57&lt;&gt;"",$B$5&lt;&gt;""),IF(ABS(B57-$B$5)&lt;=0.5,1,0),"")</f>
        <v/>
      </c>
      <c r="J57" s="22" t="str">
        <f aca="false">IF(AND(D57&lt;&gt;"",$B$5&lt;&gt;""),IF(ABS(D57-$B$5)&lt;=0.5,1,0),"")</f>
        <v/>
      </c>
    </row>
    <row r="58" customFormat="false" ht="15" hidden="false" customHeight="false" outlineLevel="0" collapsed="false">
      <c r="A58" s="18" t="n">
        <v>48</v>
      </c>
      <c r="B58" s="13"/>
      <c r="C58" s="13"/>
      <c r="D58" s="13"/>
      <c r="E58" s="13"/>
      <c r="F58" s="23" t="n">
        <f aca="false">IF(OR($B$5="",$E$6="",$E$5=""),"",IF($B$5&lt;$E$6,MAX($B$5,$E$6-$E$5*A58),MIN($B$5,$E$6+$E$5*A58)))</f>
        <v>0</v>
      </c>
      <c r="G58" s="23" t="str">
        <f aca="false">IF(OR(D58="",F58=""),"",D58-F58)</f>
        <v/>
      </c>
      <c r="H58" s="12"/>
      <c r="I58" s="22" t="str">
        <f aca="false">IF(AND(B58&lt;&gt;"",$B$5&lt;&gt;""),IF(ABS(B58-$B$5)&lt;=0.5,1,0),"")</f>
        <v/>
      </c>
      <c r="J58" s="22" t="str">
        <f aca="false">IF(AND(D58&lt;&gt;"",$B$5&lt;&gt;""),IF(ABS(D58-$B$5)&lt;=0.5,1,0),"")</f>
        <v/>
      </c>
    </row>
    <row r="59" customFormat="false" ht="15" hidden="false" customHeight="false" outlineLevel="0" collapsed="false">
      <c r="A59" s="18" t="n">
        <v>49</v>
      </c>
      <c r="B59" s="13"/>
      <c r="C59" s="13"/>
      <c r="D59" s="13"/>
      <c r="E59" s="13"/>
      <c r="F59" s="23" t="n">
        <f aca="false">IF(OR($B$5="",$E$6="",$E$5=""),"",IF($B$5&lt;$E$6,MAX($B$5,$E$6-$E$5*A59),MIN($B$5,$E$6+$E$5*A59)))</f>
        <v>0</v>
      </c>
      <c r="G59" s="23" t="str">
        <f aca="false">IF(OR(D59="",F59=""),"",D59-F59)</f>
        <v/>
      </c>
      <c r="H59" s="12"/>
      <c r="I59" s="22" t="str">
        <f aca="false">IF(AND(B59&lt;&gt;"",$B$5&lt;&gt;""),IF(ABS(B59-$B$5)&lt;=0.5,1,0),"")</f>
        <v/>
      </c>
      <c r="J59" s="22" t="str">
        <f aca="false">IF(AND(D59&lt;&gt;"",$B$5&lt;&gt;""),IF(ABS(D59-$B$5)&lt;=0.5,1,0),"")</f>
        <v/>
      </c>
    </row>
  </sheetData>
  <mergeCells count="8">
    <mergeCell ref="B4:C4"/>
    <mergeCell ref="E4:F4"/>
    <mergeCell ref="B5:C5"/>
    <mergeCell ref="E5:F5"/>
    <mergeCell ref="B6:C6"/>
    <mergeCell ref="E6:F6"/>
    <mergeCell ref="B7:C7"/>
    <mergeCell ref="E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1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9" min="9" style="0" width="34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10" t="s">
        <v>24</v>
      </c>
      <c r="B4" s="11"/>
      <c r="C4" s="11"/>
      <c r="D4" s="10" t="s">
        <v>25</v>
      </c>
      <c r="E4" s="12"/>
      <c r="F4" s="12"/>
    </row>
    <row r="5" customFormat="false" ht="15" hidden="false" customHeight="false" outlineLevel="0" collapsed="false">
      <c r="A5" s="10" t="s">
        <v>88</v>
      </c>
      <c r="B5" s="13" t="n">
        <v>25</v>
      </c>
      <c r="C5" s="13"/>
      <c r="D5" s="10" t="s">
        <v>26</v>
      </c>
      <c r="E5" s="13" t="n">
        <v>25</v>
      </c>
      <c r="F5" s="13"/>
    </row>
    <row r="6" customFormat="false" ht="15" hidden="false" customHeight="true" outlineLevel="0" collapsed="false">
      <c r="A6" s="10" t="s">
        <v>89</v>
      </c>
      <c r="B6" s="13" t="n">
        <v>2</v>
      </c>
      <c r="C6" s="13"/>
      <c r="D6" s="10" t="s">
        <v>33</v>
      </c>
      <c r="E6" s="12" t="s">
        <v>34</v>
      </c>
      <c r="F6" s="12"/>
    </row>
    <row r="8" customFormat="false" ht="15" hidden="false" customHeight="false" outlineLevel="0" collapsed="false">
      <c r="A8" s="16" t="s">
        <v>36</v>
      </c>
      <c r="B8" s="17" t="s">
        <v>90</v>
      </c>
      <c r="C8" s="17" t="s">
        <v>91</v>
      </c>
      <c r="D8" s="17" t="s">
        <v>92</v>
      </c>
      <c r="E8" s="17" t="s">
        <v>93</v>
      </c>
      <c r="F8" s="16" t="s">
        <v>94</v>
      </c>
      <c r="G8" s="16" t="s">
        <v>35</v>
      </c>
      <c r="I8" s="16" t="s">
        <v>45</v>
      </c>
      <c r="J8" s="16" t="s">
        <v>46</v>
      </c>
    </row>
    <row r="9" customFormat="false" ht="15" hidden="false" customHeight="false" outlineLevel="0" collapsed="false">
      <c r="A9" s="18" t="n">
        <v>0</v>
      </c>
      <c r="B9" s="19" t="n">
        <v>25.1</v>
      </c>
      <c r="C9" s="19" t="n">
        <v>25</v>
      </c>
      <c r="D9" s="19" t="n">
        <v>25.2</v>
      </c>
      <c r="E9" s="19" t="n">
        <v>25</v>
      </c>
      <c r="F9" s="28" t="n">
        <v>0</v>
      </c>
      <c r="G9" s="21" t="s">
        <v>47</v>
      </c>
      <c r="I9" s="15" t="s">
        <v>95</v>
      </c>
      <c r="J9" s="25" t="n">
        <f aca="false">IF(COUNT(B9:B69)=0,"",AVERAGE(B9:B69))</f>
        <v>25.1</v>
      </c>
    </row>
    <row r="10" customFormat="false" ht="15" hidden="false" customHeight="false" outlineLevel="0" collapsed="false">
      <c r="A10" s="18" t="n">
        <v>2</v>
      </c>
      <c r="B10" s="13"/>
      <c r="C10" s="13"/>
      <c r="D10" s="13"/>
      <c r="E10" s="13"/>
      <c r="F10" s="18"/>
      <c r="G10" s="12"/>
      <c r="I10" s="15" t="s">
        <v>96</v>
      </c>
      <c r="J10" s="25" t="n">
        <f aca="false">IF(COUNT(B9:B69)=0,"",MAX(B9:B69)-MIN(B9:B69))</f>
        <v>0</v>
      </c>
    </row>
    <row r="11" customFormat="false" ht="15" hidden="false" customHeight="false" outlineLevel="0" collapsed="false">
      <c r="A11" s="18" t="n">
        <v>4</v>
      </c>
      <c r="B11" s="13"/>
      <c r="C11" s="13"/>
      <c r="D11" s="13"/>
      <c r="E11" s="13"/>
      <c r="F11" s="18"/>
      <c r="G11" s="12"/>
      <c r="I11" s="15" t="s">
        <v>97</v>
      </c>
      <c r="J11" s="25" t="n">
        <f aca="false">IF(COUNT(B9:B69)=0,"",(MAX(B9:B69)-MIN(B9:B69))/2)</f>
        <v>0</v>
      </c>
    </row>
    <row r="12" customFormat="false" ht="15" hidden="false" customHeight="false" outlineLevel="0" collapsed="false">
      <c r="A12" s="18" t="n">
        <v>6</v>
      </c>
      <c r="B12" s="13"/>
      <c r="C12" s="13"/>
      <c r="D12" s="13"/>
      <c r="E12" s="13"/>
      <c r="F12" s="18"/>
      <c r="G12" s="12"/>
      <c r="I12" s="15" t="s">
        <v>98</v>
      </c>
      <c r="J12" s="26" t="str">
        <f aca="false">IF(COUNT(B9:B69)&lt;2,"",STDEV(B9:B69))</f>
        <v/>
      </c>
    </row>
    <row r="13" customFormat="false" ht="15" hidden="false" customHeight="false" outlineLevel="0" collapsed="false">
      <c r="A13" s="18" t="n">
        <v>8</v>
      </c>
      <c r="B13" s="13"/>
      <c r="C13" s="13"/>
      <c r="D13" s="13"/>
      <c r="E13" s="13"/>
      <c r="F13" s="18"/>
      <c r="G13" s="12"/>
      <c r="I13" s="15" t="s">
        <v>99</v>
      </c>
      <c r="J13" s="25" t="n">
        <f aca="false">IF(COUNT(C9:C69)=0,"",MAX(C9:C69)-MIN(C9:C69))</f>
        <v>0</v>
      </c>
    </row>
    <row r="14" customFormat="false" ht="15" hidden="false" customHeight="false" outlineLevel="0" collapsed="false">
      <c r="A14" s="18" t="n">
        <v>10</v>
      </c>
      <c r="B14" s="13"/>
      <c r="C14" s="13"/>
      <c r="D14" s="13"/>
      <c r="E14" s="13"/>
      <c r="F14" s="18"/>
      <c r="G14" s="12"/>
      <c r="I14" s="15" t="s">
        <v>100</v>
      </c>
      <c r="J14" s="25" t="n">
        <f aca="false">IF(OR(COUNT(C9:C69)=0,$B$5=""),"",AVERAGE(C9:C69)-$B$5)</f>
        <v>0</v>
      </c>
    </row>
    <row r="15" customFormat="false" ht="15" hidden="false" customHeight="false" outlineLevel="0" collapsed="false">
      <c r="A15" s="18" t="n">
        <v>12</v>
      </c>
      <c r="B15" s="13"/>
      <c r="C15" s="13"/>
      <c r="D15" s="13"/>
      <c r="E15" s="13"/>
      <c r="F15" s="18"/>
      <c r="G15" s="12"/>
    </row>
    <row r="16" customFormat="false" ht="15" hidden="false" customHeight="false" outlineLevel="0" collapsed="false">
      <c r="A16" s="18" t="n">
        <v>14</v>
      </c>
      <c r="B16" s="13"/>
      <c r="C16" s="13"/>
      <c r="D16" s="13"/>
      <c r="E16" s="13"/>
      <c r="F16" s="18"/>
      <c r="G16" s="12"/>
      <c r="I16" s="15" t="s">
        <v>101</v>
      </c>
      <c r="J16" s="25" t="n">
        <f aca="false">IF(COUNT(D9:D69)=0,"",AVERAGE(D9:D69))</f>
        <v>25.2</v>
      </c>
    </row>
    <row r="17" customFormat="false" ht="15" hidden="false" customHeight="false" outlineLevel="0" collapsed="false">
      <c r="A17" s="18" t="n">
        <v>16</v>
      </c>
      <c r="B17" s="13"/>
      <c r="C17" s="13"/>
      <c r="D17" s="13"/>
      <c r="E17" s="13"/>
      <c r="F17" s="18"/>
      <c r="G17" s="12"/>
      <c r="I17" s="15" t="s">
        <v>102</v>
      </c>
      <c r="J17" s="25" t="n">
        <f aca="false">IF(COUNT(D9:D69)=0,"",MAX(D9:D69)-MIN(D9:D69))</f>
        <v>0</v>
      </c>
    </row>
    <row r="18" customFormat="false" ht="15" hidden="false" customHeight="false" outlineLevel="0" collapsed="false">
      <c r="A18" s="18" t="n">
        <v>18</v>
      </c>
      <c r="B18" s="13"/>
      <c r="C18" s="13"/>
      <c r="D18" s="13"/>
      <c r="E18" s="13"/>
      <c r="F18" s="18"/>
      <c r="G18" s="12"/>
      <c r="I18" s="15" t="s">
        <v>103</v>
      </c>
      <c r="J18" s="25" t="n">
        <f aca="false">IF(COUNT(D9:D69)=0,"",(MAX(D9:D69)-MIN(D9:D69))/2)</f>
        <v>0</v>
      </c>
    </row>
    <row r="19" customFormat="false" ht="15" hidden="false" customHeight="false" outlineLevel="0" collapsed="false">
      <c r="A19" s="18" t="n">
        <v>20</v>
      </c>
      <c r="B19" s="13"/>
      <c r="C19" s="13"/>
      <c r="D19" s="13"/>
      <c r="E19" s="13"/>
      <c r="F19" s="18"/>
      <c r="G19" s="12"/>
      <c r="I19" s="15" t="s">
        <v>104</v>
      </c>
      <c r="J19" s="26" t="str">
        <f aca="false">IF(COUNT(D9:D69)&lt;2,"",STDEV(D9:D69))</f>
        <v/>
      </c>
    </row>
    <row r="20" customFormat="false" ht="15" hidden="false" customHeight="false" outlineLevel="0" collapsed="false">
      <c r="A20" s="18" t="n">
        <v>22</v>
      </c>
      <c r="B20" s="13"/>
      <c r="C20" s="13"/>
      <c r="D20" s="13"/>
      <c r="E20" s="13"/>
      <c r="F20" s="18"/>
      <c r="G20" s="12"/>
      <c r="I20" s="15" t="s">
        <v>105</v>
      </c>
      <c r="J20" s="25" t="n">
        <f aca="false">IF(COUNT(E9:E69)=0,"",MAX(E9:E69)-MIN(E9:E69))</f>
        <v>0</v>
      </c>
    </row>
    <row r="21" customFormat="false" ht="15" hidden="false" customHeight="false" outlineLevel="0" collapsed="false">
      <c r="A21" s="18" t="n">
        <v>24</v>
      </c>
      <c r="B21" s="13"/>
      <c r="C21" s="13"/>
      <c r="D21" s="13"/>
      <c r="E21" s="13"/>
      <c r="F21" s="18"/>
      <c r="G21" s="12"/>
      <c r="I21" s="15" t="s">
        <v>106</v>
      </c>
      <c r="J21" s="25" t="n">
        <f aca="false">IF(OR(COUNT(E9:E69)=0,$B$5=""),"",AVERAGE(E9:E69)-$B$5)</f>
        <v>0</v>
      </c>
    </row>
    <row r="22" customFormat="false" ht="15" hidden="false" customHeight="false" outlineLevel="0" collapsed="false">
      <c r="A22" s="18" t="n">
        <v>26</v>
      </c>
      <c r="B22" s="13"/>
      <c r="C22" s="13"/>
      <c r="D22" s="13"/>
      <c r="E22" s="13"/>
      <c r="F22" s="18"/>
      <c r="G22" s="12"/>
    </row>
    <row r="23" customFormat="false" ht="15" hidden="false" customHeight="false" outlineLevel="0" collapsed="false">
      <c r="A23" s="18" t="n">
        <v>28</v>
      </c>
      <c r="B23" s="13"/>
      <c r="C23" s="13"/>
      <c r="D23" s="13"/>
      <c r="E23" s="13"/>
      <c r="F23" s="18"/>
      <c r="G23" s="12"/>
      <c r="I23" s="10" t="s">
        <v>107</v>
      </c>
      <c r="J23" s="22" t="n">
        <f aca="false">IF(COUNT(F9:F69)=0,"",SUM(F9:F69))</f>
        <v>0</v>
      </c>
    </row>
    <row r="24" customFormat="false" ht="15" hidden="false" customHeight="false" outlineLevel="0" collapsed="false">
      <c r="A24" s="18" t="n">
        <v>30</v>
      </c>
      <c r="B24" s="13"/>
      <c r="C24" s="13"/>
      <c r="D24" s="13"/>
      <c r="E24" s="13"/>
      <c r="F24" s="18"/>
      <c r="G24" s="12"/>
    </row>
    <row r="25" customFormat="false" ht="15" hidden="false" customHeight="false" outlineLevel="0" collapsed="false">
      <c r="A25" s="18" t="n">
        <v>32</v>
      </c>
      <c r="B25" s="13"/>
      <c r="C25" s="13"/>
      <c r="D25" s="13"/>
      <c r="E25" s="13"/>
      <c r="F25" s="18"/>
      <c r="G25" s="12"/>
    </row>
    <row r="26" customFormat="false" ht="15" hidden="false" customHeight="false" outlineLevel="0" collapsed="false">
      <c r="A26" s="18" t="n">
        <v>34</v>
      </c>
      <c r="B26" s="13"/>
      <c r="C26" s="13"/>
      <c r="D26" s="13"/>
      <c r="E26" s="13"/>
      <c r="F26" s="18"/>
      <c r="G26" s="12"/>
    </row>
    <row r="27" customFormat="false" ht="15" hidden="false" customHeight="false" outlineLevel="0" collapsed="false">
      <c r="A27" s="18" t="n">
        <v>36</v>
      </c>
      <c r="B27" s="13"/>
      <c r="C27" s="13"/>
      <c r="D27" s="13"/>
      <c r="E27" s="13"/>
      <c r="F27" s="18"/>
      <c r="G27" s="12"/>
    </row>
    <row r="28" customFormat="false" ht="15" hidden="false" customHeight="false" outlineLevel="0" collapsed="false">
      <c r="A28" s="18" t="n">
        <v>38</v>
      </c>
      <c r="B28" s="13"/>
      <c r="C28" s="13"/>
      <c r="D28" s="13"/>
      <c r="E28" s="13"/>
      <c r="F28" s="18"/>
      <c r="G28" s="12"/>
    </row>
    <row r="29" customFormat="false" ht="15" hidden="false" customHeight="false" outlineLevel="0" collapsed="false">
      <c r="A29" s="18" t="n">
        <v>40</v>
      </c>
      <c r="B29" s="13"/>
      <c r="C29" s="13"/>
      <c r="D29" s="13"/>
      <c r="E29" s="13"/>
      <c r="F29" s="18"/>
      <c r="G29" s="12"/>
    </row>
    <row r="30" customFormat="false" ht="15" hidden="false" customHeight="false" outlineLevel="0" collapsed="false">
      <c r="A30" s="18" t="n">
        <v>42</v>
      </c>
      <c r="B30" s="13"/>
      <c r="C30" s="13"/>
      <c r="D30" s="13"/>
      <c r="E30" s="13"/>
      <c r="F30" s="18"/>
      <c r="G30" s="12"/>
    </row>
    <row r="31" customFormat="false" ht="15" hidden="false" customHeight="false" outlineLevel="0" collapsed="false">
      <c r="A31" s="18" t="n">
        <v>44</v>
      </c>
      <c r="B31" s="13"/>
      <c r="C31" s="13"/>
      <c r="D31" s="13"/>
      <c r="E31" s="13"/>
      <c r="F31" s="18"/>
      <c r="G31" s="12"/>
    </row>
    <row r="32" customFormat="false" ht="15" hidden="false" customHeight="false" outlineLevel="0" collapsed="false">
      <c r="A32" s="18" t="n">
        <v>46</v>
      </c>
      <c r="B32" s="13"/>
      <c r="C32" s="13"/>
      <c r="D32" s="13"/>
      <c r="E32" s="13"/>
      <c r="F32" s="18"/>
      <c r="G32" s="12"/>
    </row>
    <row r="33" customFormat="false" ht="15" hidden="false" customHeight="false" outlineLevel="0" collapsed="false">
      <c r="A33" s="18" t="n">
        <v>48</v>
      </c>
      <c r="B33" s="13"/>
      <c r="C33" s="13"/>
      <c r="D33" s="13"/>
      <c r="E33" s="13"/>
      <c r="F33" s="18"/>
      <c r="G33" s="12"/>
    </row>
    <row r="34" customFormat="false" ht="15" hidden="false" customHeight="false" outlineLevel="0" collapsed="false">
      <c r="A34" s="18" t="n">
        <v>50</v>
      </c>
      <c r="B34" s="13"/>
      <c r="C34" s="13"/>
      <c r="D34" s="13"/>
      <c r="E34" s="13"/>
      <c r="F34" s="18"/>
      <c r="G34" s="12"/>
    </row>
    <row r="35" customFormat="false" ht="15" hidden="false" customHeight="false" outlineLevel="0" collapsed="false">
      <c r="A35" s="18" t="n">
        <v>52</v>
      </c>
      <c r="B35" s="13"/>
      <c r="C35" s="13"/>
      <c r="D35" s="13"/>
      <c r="E35" s="13"/>
      <c r="F35" s="18"/>
      <c r="G35" s="12"/>
    </row>
    <row r="36" customFormat="false" ht="15" hidden="false" customHeight="false" outlineLevel="0" collapsed="false">
      <c r="A36" s="18" t="n">
        <v>54</v>
      </c>
      <c r="B36" s="13"/>
      <c r="C36" s="13"/>
      <c r="D36" s="13"/>
      <c r="E36" s="13"/>
      <c r="F36" s="18"/>
      <c r="G36" s="12"/>
    </row>
    <row r="37" customFormat="false" ht="15" hidden="false" customHeight="false" outlineLevel="0" collapsed="false">
      <c r="A37" s="18" t="n">
        <v>56</v>
      </c>
      <c r="B37" s="13"/>
      <c r="C37" s="13"/>
      <c r="D37" s="13"/>
      <c r="E37" s="13"/>
      <c r="F37" s="18"/>
      <c r="G37" s="12"/>
    </row>
    <row r="38" customFormat="false" ht="15" hidden="false" customHeight="false" outlineLevel="0" collapsed="false">
      <c r="A38" s="18" t="n">
        <v>58</v>
      </c>
      <c r="B38" s="13"/>
      <c r="C38" s="13"/>
      <c r="D38" s="13"/>
      <c r="E38" s="13"/>
      <c r="F38" s="18"/>
      <c r="G38" s="12"/>
    </row>
    <row r="39" customFormat="false" ht="15" hidden="false" customHeight="false" outlineLevel="0" collapsed="false">
      <c r="A39" s="18" t="n">
        <v>60</v>
      </c>
      <c r="B39" s="13"/>
      <c r="C39" s="13"/>
      <c r="D39" s="13"/>
      <c r="E39" s="13"/>
      <c r="F39" s="18"/>
      <c r="G39" s="12"/>
    </row>
    <row r="40" customFormat="false" ht="15" hidden="false" customHeight="false" outlineLevel="0" collapsed="false">
      <c r="A40" s="18" t="n">
        <v>62</v>
      </c>
      <c r="B40" s="13"/>
      <c r="C40" s="13"/>
      <c r="D40" s="13"/>
      <c r="E40" s="13"/>
      <c r="F40" s="18"/>
      <c r="G40" s="12"/>
    </row>
    <row r="41" customFormat="false" ht="15" hidden="false" customHeight="false" outlineLevel="0" collapsed="false">
      <c r="A41" s="18" t="n">
        <v>64</v>
      </c>
      <c r="B41" s="13"/>
      <c r="C41" s="13"/>
      <c r="D41" s="13"/>
      <c r="E41" s="13"/>
      <c r="F41" s="18"/>
      <c r="G41" s="12"/>
    </row>
    <row r="42" customFormat="false" ht="15" hidden="false" customHeight="false" outlineLevel="0" collapsed="false">
      <c r="A42" s="18" t="n">
        <v>66</v>
      </c>
      <c r="B42" s="13"/>
      <c r="C42" s="13"/>
      <c r="D42" s="13"/>
      <c r="E42" s="13"/>
      <c r="F42" s="18"/>
      <c r="G42" s="12"/>
    </row>
    <row r="43" customFormat="false" ht="15" hidden="false" customHeight="false" outlineLevel="0" collapsed="false">
      <c r="A43" s="18" t="n">
        <v>68</v>
      </c>
      <c r="B43" s="13"/>
      <c r="C43" s="13"/>
      <c r="D43" s="13"/>
      <c r="E43" s="13"/>
      <c r="F43" s="18"/>
      <c r="G43" s="12"/>
    </row>
    <row r="44" customFormat="false" ht="15" hidden="false" customHeight="false" outlineLevel="0" collapsed="false">
      <c r="A44" s="18" t="n">
        <v>70</v>
      </c>
      <c r="B44" s="13"/>
      <c r="C44" s="13"/>
      <c r="D44" s="13"/>
      <c r="E44" s="13"/>
      <c r="F44" s="18"/>
      <c r="G44" s="12"/>
    </row>
    <row r="45" customFormat="false" ht="15" hidden="false" customHeight="false" outlineLevel="0" collapsed="false">
      <c r="A45" s="18" t="n">
        <v>72</v>
      </c>
      <c r="B45" s="13"/>
      <c r="C45" s="13"/>
      <c r="D45" s="13"/>
      <c r="E45" s="13"/>
      <c r="F45" s="18"/>
      <c r="G45" s="12"/>
    </row>
    <row r="46" customFormat="false" ht="15" hidden="false" customHeight="false" outlineLevel="0" collapsed="false">
      <c r="A46" s="18" t="n">
        <v>74</v>
      </c>
      <c r="B46" s="13"/>
      <c r="C46" s="13"/>
      <c r="D46" s="13"/>
      <c r="E46" s="13"/>
      <c r="F46" s="18"/>
      <c r="G46" s="12"/>
    </row>
    <row r="47" customFormat="false" ht="15" hidden="false" customHeight="false" outlineLevel="0" collapsed="false">
      <c r="A47" s="18" t="n">
        <v>76</v>
      </c>
      <c r="B47" s="13"/>
      <c r="C47" s="13"/>
      <c r="D47" s="13"/>
      <c r="E47" s="13"/>
      <c r="F47" s="18"/>
      <c r="G47" s="12"/>
    </row>
    <row r="48" customFormat="false" ht="15" hidden="false" customHeight="false" outlineLevel="0" collapsed="false">
      <c r="A48" s="18" t="n">
        <v>78</v>
      </c>
      <c r="B48" s="13"/>
      <c r="C48" s="13"/>
      <c r="D48" s="13"/>
      <c r="E48" s="13"/>
      <c r="F48" s="18"/>
      <c r="G48" s="12"/>
    </row>
    <row r="49" customFormat="false" ht="15" hidden="false" customHeight="false" outlineLevel="0" collapsed="false">
      <c r="A49" s="18" t="n">
        <v>80</v>
      </c>
      <c r="B49" s="13"/>
      <c r="C49" s="13"/>
      <c r="D49" s="13"/>
      <c r="E49" s="13"/>
      <c r="F49" s="18"/>
      <c r="G49" s="12"/>
    </row>
    <row r="50" customFormat="false" ht="15" hidden="false" customHeight="false" outlineLevel="0" collapsed="false">
      <c r="A50" s="18" t="n">
        <v>82</v>
      </c>
      <c r="B50" s="13"/>
      <c r="C50" s="13"/>
      <c r="D50" s="13"/>
      <c r="E50" s="13"/>
      <c r="F50" s="18"/>
      <c r="G50" s="12"/>
    </row>
    <row r="51" customFormat="false" ht="15" hidden="false" customHeight="false" outlineLevel="0" collapsed="false">
      <c r="A51" s="18" t="n">
        <v>84</v>
      </c>
      <c r="B51" s="13"/>
      <c r="C51" s="13"/>
      <c r="D51" s="13"/>
      <c r="E51" s="13"/>
      <c r="F51" s="18"/>
      <c r="G51" s="12"/>
    </row>
    <row r="52" customFormat="false" ht="15" hidden="false" customHeight="false" outlineLevel="0" collapsed="false">
      <c r="A52" s="18" t="n">
        <v>86</v>
      </c>
      <c r="B52" s="13"/>
      <c r="C52" s="13"/>
      <c r="D52" s="13"/>
      <c r="E52" s="13"/>
      <c r="F52" s="18"/>
      <c r="G52" s="12"/>
    </row>
    <row r="53" customFormat="false" ht="15" hidden="false" customHeight="false" outlineLevel="0" collapsed="false">
      <c r="A53" s="18" t="n">
        <v>88</v>
      </c>
      <c r="B53" s="13"/>
      <c r="C53" s="13"/>
      <c r="D53" s="13"/>
      <c r="E53" s="13"/>
      <c r="F53" s="18"/>
      <c r="G53" s="12"/>
    </row>
    <row r="54" customFormat="false" ht="15" hidden="false" customHeight="false" outlineLevel="0" collapsed="false">
      <c r="A54" s="18" t="n">
        <v>90</v>
      </c>
      <c r="B54" s="13"/>
      <c r="C54" s="13"/>
      <c r="D54" s="13"/>
      <c r="E54" s="13"/>
      <c r="F54" s="18"/>
      <c r="G54" s="12"/>
    </row>
    <row r="55" customFormat="false" ht="15" hidden="false" customHeight="false" outlineLevel="0" collapsed="false">
      <c r="A55" s="18" t="n">
        <v>92</v>
      </c>
      <c r="B55" s="13"/>
      <c r="C55" s="13"/>
      <c r="D55" s="13"/>
      <c r="E55" s="13"/>
      <c r="F55" s="18"/>
      <c r="G55" s="12"/>
    </row>
    <row r="56" customFormat="false" ht="15" hidden="false" customHeight="false" outlineLevel="0" collapsed="false">
      <c r="A56" s="18" t="n">
        <v>94</v>
      </c>
      <c r="B56" s="13"/>
      <c r="C56" s="13"/>
      <c r="D56" s="13"/>
      <c r="E56" s="13"/>
      <c r="F56" s="18"/>
      <c r="G56" s="12"/>
    </row>
    <row r="57" customFormat="false" ht="15" hidden="false" customHeight="false" outlineLevel="0" collapsed="false">
      <c r="A57" s="18" t="n">
        <v>96</v>
      </c>
      <c r="B57" s="13"/>
      <c r="C57" s="13"/>
      <c r="D57" s="13"/>
      <c r="E57" s="13"/>
      <c r="F57" s="18"/>
      <c r="G57" s="12"/>
    </row>
    <row r="58" customFormat="false" ht="15" hidden="false" customHeight="false" outlineLevel="0" collapsed="false">
      <c r="A58" s="18" t="n">
        <v>98</v>
      </c>
      <c r="B58" s="13"/>
      <c r="C58" s="13"/>
      <c r="D58" s="13"/>
      <c r="E58" s="13"/>
      <c r="F58" s="18"/>
      <c r="G58" s="12"/>
    </row>
    <row r="59" customFormat="false" ht="15" hidden="false" customHeight="false" outlineLevel="0" collapsed="false">
      <c r="A59" s="18" t="n">
        <v>100</v>
      </c>
      <c r="B59" s="13"/>
      <c r="C59" s="13"/>
      <c r="D59" s="13"/>
      <c r="E59" s="13"/>
      <c r="F59" s="18"/>
      <c r="G59" s="12"/>
    </row>
    <row r="60" customFormat="false" ht="15" hidden="false" customHeight="false" outlineLevel="0" collapsed="false">
      <c r="A60" s="18" t="n">
        <v>102</v>
      </c>
      <c r="B60" s="13"/>
      <c r="C60" s="13"/>
      <c r="D60" s="13"/>
      <c r="E60" s="13"/>
      <c r="F60" s="18"/>
      <c r="G60" s="12"/>
    </row>
    <row r="61" customFormat="false" ht="15" hidden="false" customHeight="false" outlineLevel="0" collapsed="false">
      <c r="A61" s="18" t="n">
        <v>104</v>
      </c>
      <c r="B61" s="13"/>
      <c r="C61" s="13"/>
      <c r="D61" s="13"/>
      <c r="E61" s="13"/>
      <c r="F61" s="18"/>
      <c r="G61" s="12"/>
    </row>
    <row r="62" customFormat="false" ht="15" hidden="false" customHeight="false" outlineLevel="0" collapsed="false">
      <c r="A62" s="18" t="n">
        <v>106</v>
      </c>
      <c r="B62" s="13"/>
      <c r="C62" s="13"/>
      <c r="D62" s="13"/>
      <c r="E62" s="13"/>
      <c r="F62" s="18"/>
      <c r="G62" s="12"/>
    </row>
    <row r="63" customFormat="false" ht="15" hidden="false" customHeight="false" outlineLevel="0" collapsed="false">
      <c r="A63" s="18" t="n">
        <v>108</v>
      </c>
      <c r="B63" s="13"/>
      <c r="C63" s="13"/>
      <c r="D63" s="13"/>
      <c r="E63" s="13"/>
      <c r="F63" s="18"/>
      <c r="G63" s="12"/>
    </row>
    <row r="64" customFormat="false" ht="15" hidden="false" customHeight="false" outlineLevel="0" collapsed="false">
      <c r="A64" s="18" t="n">
        <v>110</v>
      </c>
      <c r="B64" s="13"/>
      <c r="C64" s="13"/>
      <c r="D64" s="13"/>
      <c r="E64" s="13"/>
      <c r="F64" s="18"/>
      <c r="G64" s="12"/>
    </row>
    <row r="65" customFormat="false" ht="15" hidden="false" customHeight="false" outlineLevel="0" collapsed="false">
      <c r="A65" s="18" t="n">
        <v>112</v>
      </c>
      <c r="B65" s="13"/>
      <c r="C65" s="13"/>
      <c r="D65" s="13"/>
      <c r="E65" s="13"/>
      <c r="F65" s="18"/>
      <c r="G65" s="12"/>
    </row>
    <row r="66" customFormat="false" ht="15" hidden="false" customHeight="false" outlineLevel="0" collapsed="false">
      <c r="A66" s="18" t="n">
        <v>114</v>
      </c>
      <c r="B66" s="13"/>
      <c r="C66" s="13"/>
      <c r="D66" s="13"/>
      <c r="E66" s="13"/>
      <c r="F66" s="18"/>
      <c r="G66" s="12"/>
    </row>
    <row r="67" customFormat="false" ht="15" hidden="false" customHeight="false" outlineLevel="0" collapsed="false">
      <c r="A67" s="18" t="n">
        <v>116</v>
      </c>
      <c r="B67" s="13"/>
      <c r="C67" s="13"/>
      <c r="D67" s="13"/>
      <c r="E67" s="13"/>
      <c r="F67" s="18"/>
      <c r="G67" s="12"/>
    </row>
    <row r="68" customFormat="false" ht="15" hidden="false" customHeight="false" outlineLevel="0" collapsed="false">
      <c r="A68" s="18" t="n">
        <v>118</v>
      </c>
      <c r="B68" s="13"/>
      <c r="C68" s="13"/>
      <c r="D68" s="13"/>
      <c r="E68" s="13"/>
      <c r="F68" s="18"/>
      <c r="G68" s="12"/>
    </row>
    <row r="69" customFormat="false" ht="15" hidden="false" customHeight="false" outlineLevel="0" collapsed="false">
      <c r="A69" s="18" t="n">
        <v>120</v>
      </c>
      <c r="B69" s="13"/>
      <c r="C69" s="13"/>
      <c r="D69" s="13"/>
      <c r="E69" s="13"/>
      <c r="F69" s="18"/>
      <c r="G69" s="12"/>
    </row>
  </sheetData>
  <mergeCells count="6">
    <mergeCell ref="B4:C4"/>
    <mergeCell ref="E4:F4"/>
    <mergeCell ref="B5:C5"/>
    <mergeCell ref="E5:F5"/>
    <mergeCell ref="B6:C6"/>
    <mergeCell ref="E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7" min="6" style="0" width="10"/>
    <col collapsed="false" customWidth="true" hidden="false" outlineLevel="0" max="9" min="8" style="0" width="11"/>
    <col collapsed="false" customWidth="true" hidden="false" outlineLevel="0" max="11" min="10" style="0" width="9"/>
    <col collapsed="false" customWidth="true" hidden="false" outlineLevel="0" max="12" min="12" style="0" width="26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10" t="s">
        <v>24</v>
      </c>
      <c r="B4" s="11"/>
      <c r="C4" s="11"/>
      <c r="D4" s="10" t="s">
        <v>25</v>
      </c>
      <c r="E4" s="12"/>
      <c r="F4" s="12"/>
    </row>
    <row r="5" customFormat="false" ht="15" hidden="false" customHeight="false" outlineLevel="0" collapsed="false">
      <c r="A5" s="10" t="s">
        <v>89</v>
      </c>
      <c r="B5" s="13" t="n">
        <v>2</v>
      </c>
      <c r="C5" s="13"/>
      <c r="D5" s="10" t="s">
        <v>110</v>
      </c>
      <c r="E5" s="13" t="n">
        <v>5</v>
      </c>
      <c r="F5" s="13"/>
    </row>
    <row r="6" customFormat="false" ht="15" hidden="false" customHeight="true" outlineLevel="0" collapsed="false">
      <c r="A6" s="10" t="s">
        <v>33</v>
      </c>
      <c r="B6" s="12" t="s">
        <v>34</v>
      </c>
      <c r="C6" s="12"/>
      <c r="D6" s="10" t="s">
        <v>35</v>
      </c>
      <c r="E6" s="12"/>
      <c r="F6" s="12"/>
    </row>
    <row r="8" customFormat="false" ht="15" hidden="false" customHeight="false" outlineLevel="0" collapsed="false">
      <c r="A8" s="16" t="s">
        <v>111</v>
      </c>
      <c r="B8" s="16" t="s">
        <v>112</v>
      </c>
      <c r="C8" s="16" t="s">
        <v>113</v>
      </c>
      <c r="D8" s="16" t="s">
        <v>114</v>
      </c>
      <c r="E8" s="16" t="s">
        <v>115</v>
      </c>
      <c r="F8" s="17" t="s">
        <v>116</v>
      </c>
      <c r="G8" s="17" t="s">
        <v>117</v>
      </c>
      <c r="H8" s="17" t="s">
        <v>118</v>
      </c>
      <c r="I8" s="17" t="s">
        <v>119</v>
      </c>
      <c r="J8" s="17" t="s">
        <v>39</v>
      </c>
      <c r="K8" s="17" t="s">
        <v>42</v>
      </c>
      <c r="L8" s="16" t="s">
        <v>35</v>
      </c>
      <c r="M8" s="16" t="s">
        <v>120</v>
      </c>
    </row>
    <row r="9" customFormat="false" ht="15" hidden="false" customHeight="false" outlineLevel="0" collapsed="false">
      <c r="A9" s="29" t="s">
        <v>121</v>
      </c>
      <c r="B9" s="29" t="s">
        <v>122</v>
      </c>
      <c r="C9" s="21" t="s">
        <v>123</v>
      </c>
      <c r="D9" s="19" t="n">
        <v>-10</v>
      </c>
      <c r="E9" s="19" t="n">
        <v>23.5</v>
      </c>
      <c r="F9" s="21" t="s">
        <v>124</v>
      </c>
      <c r="G9" s="21" t="s">
        <v>125</v>
      </c>
      <c r="H9" s="21" t="s">
        <v>125</v>
      </c>
      <c r="I9" s="21" t="s">
        <v>125</v>
      </c>
      <c r="J9" s="20" t="n">
        <v>4.2</v>
      </c>
      <c r="K9" s="20" t="n">
        <v>0</v>
      </c>
      <c r="L9" s="21" t="s">
        <v>126</v>
      </c>
      <c r="M9" s="30" t="str">
        <f aca="false">IF(AND(F9="合",H9="合"),"⚠ A 两只同时合",IF(AND(G9="合",I9="合"),"⚠ B 两只同时合",""))</f>
        <v/>
      </c>
    </row>
    <row r="10" customFormat="false" ht="15" hidden="false" customHeight="false" outlineLevel="0" collapsed="false">
      <c r="A10" s="12"/>
      <c r="B10" s="12"/>
      <c r="C10" s="12"/>
      <c r="D10" s="13"/>
      <c r="E10" s="13"/>
      <c r="F10" s="12"/>
      <c r="G10" s="12"/>
      <c r="H10" s="12"/>
      <c r="I10" s="12"/>
      <c r="J10" s="24"/>
      <c r="K10" s="24"/>
      <c r="L10" s="12"/>
      <c r="M10" s="30" t="str">
        <f aca="false">IF(AND(F10="合",H10="合"),"⚠ A 两只同时合",IF(AND(G10="合",I10="合"),"⚠ B 两只同时合",""))</f>
        <v/>
      </c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2"/>
      <c r="G11" s="12"/>
      <c r="H11" s="12"/>
      <c r="I11" s="12"/>
      <c r="J11" s="24"/>
      <c r="K11" s="24"/>
      <c r="L11" s="12"/>
      <c r="M11" s="30" t="str">
        <f aca="false">IF(AND(F11="合",H11="合"),"⚠ A 两只同时合",IF(AND(G11="合",I11="合"),"⚠ B 两只同时合",""))</f>
        <v/>
      </c>
    </row>
    <row r="12" customFormat="false" ht="15" hidden="false" customHeight="false" outlineLevel="0" collapsed="false">
      <c r="A12" s="12"/>
      <c r="B12" s="12"/>
      <c r="C12" s="12"/>
      <c r="D12" s="13"/>
      <c r="E12" s="13"/>
      <c r="F12" s="12"/>
      <c r="G12" s="12"/>
      <c r="H12" s="12"/>
      <c r="I12" s="12"/>
      <c r="J12" s="24"/>
      <c r="K12" s="24"/>
      <c r="L12" s="12"/>
      <c r="M12" s="30" t="str">
        <f aca="false">IF(AND(F12="合",H12="合"),"⚠ A 两只同时合",IF(AND(G12="合",I12="合"),"⚠ B 两只同时合",""))</f>
        <v/>
      </c>
    </row>
    <row r="13" customFormat="false" ht="15" hidden="false" customHeight="false" outlineLevel="0" collapsed="false">
      <c r="A13" s="12"/>
      <c r="B13" s="12"/>
      <c r="C13" s="12"/>
      <c r="D13" s="13"/>
      <c r="E13" s="13"/>
      <c r="F13" s="12"/>
      <c r="G13" s="12"/>
      <c r="H13" s="12"/>
      <c r="I13" s="12"/>
      <c r="J13" s="24"/>
      <c r="K13" s="24"/>
      <c r="L13" s="12"/>
      <c r="M13" s="30" t="str">
        <f aca="false">IF(AND(F13="合",H13="合"),"⚠ A 两只同时合",IF(AND(G13="合",I13="合"),"⚠ B 两只同时合",""))</f>
        <v/>
      </c>
    </row>
    <row r="14" customFormat="false" ht="15" hidden="false" customHeight="false" outlineLevel="0" collapsed="false">
      <c r="A14" s="12"/>
      <c r="B14" s="12"/>
      <c r="C14" s="12"/>
      <c r="D14" s="13"/>
      <c r="E14" s="13"/>
      <c r="F14" s="12"/>
      <c r="G14" s="12"/>
      <c r="H14" s="12"/>
      <c r="I14" s="12"/>
      <c r="J14" s="24"/>
      <c r="K14" s="24"/>
      <c r="L14" s="12"/>
      <c r="M14" s="30" t="str">
        <f aca="false">IF(AND(F14="合",H14="合"),"⚠ A 两只同时合",IF(AND(G14="合",I14="合"),"⚠ B 两只同时合",""))</f>
        <v/>
      </c>
    </row>
    <row r="15" customFormat="false" ht="15" hidden="false" customHeight="false" outlineLevel="0" collapsed="false">
      <c r="A15" s="12"/>
      <c r="B15" s="12"/>
      <c r="C15" s="12"/>
      <c r="D15" s="13"/>
      <c r="E15" s="13"/>
      <c r="F15" s="12"/>
      <c r="G15" s="12"/>
      <c r="H15" s="12"/>
      <c r="I15" s="12"/>
      <c r="J15" s="24"/>
      <c r="K15" s="24"/>
      <c r="L15" s="12"/>
      <c r="M15" s="30" t="str">
        <f aca="false">IF(AND(F15="合",H15="合"),"⚠ A 两只同时合",IF(AND(G15="合",I15="合"),"⚠ B 两只同时合",""))</f>
        <v/>
      </c>
    </row>
    <row r="16" customFormat="false" ht="15" hidden="false" customHeight="false" outlineLevel="0" collapsed="false">
      <c r="A16" s="12"/>
      <c r="B16" s="12"/>
      <c r="C16" s="12"/>
      <c r="D16" s="13"/>
      <c r="E16" s="13"/>
      <c r="F16" s="12"/>
      <c r="G16" s="12"/>
      <c r="H16" s="12"/>
      <c r="I16" s="12"/>
      <c r="J16" s="24"/>
      <c r="K16" s="24"/>
      <c r="L16" s="12"/>
      <c r="M16" s="30" t="str">
        <f aca="false">IF(AND(F16="合",H16="合"),"⚠ A 两只同时合",IF(AND(G16="合",I16="合"),"⚠ B 两只同时合",""))</f>
        <v/>
      </c>
    </row>
    <row r="17" customFormat="false" ht="15" hidden="false" customHeight="false" outlineLevel="0" collapsed="false">
      <c r="A17" s="12"/>
      <c r="B17" s="12"/>
      <c r="C17" s="12"/>
      <c r="D17" s="13"/>
      <c r="E17" s="13"/>
      <c r="F17" s="12"/>
      <c r="G17" s="12"/>
      <c r="H17" s="12"/>
      <c r="I17" s="12"/>
      <c r="J17" s="24"/>
      <c r="K17" s="24"/>
      <c r="L17" s="12"/>
      <c r="M17" s="30" t="str">
        <f aca="false">IF(AND(F17="合",H17="合"),"⚠ A 两只同时合",IF(AND(G17="合",I17="合"),"⚠ B 两只同时合",""))</f>
        <v/>
      </c>
    </row>
    <row r="18" customFormat="false" ht="15" hidden="false" customHeight="false" outlineLevel="0" collapsed="false">
      <c r="A18" s="12"/>
      <c r="B18" s="12"/>
      <c r="C18" s="12"/>
      <c r="D18" s="13"/>
      <c r="E18" s="13"/>
      <c r="F18" s="12"/>
      <c r="G18" s="12"/>
      <c r="H18" s="12"/>
      <c r="I18" s="12"/>
      <c r="J18" s="24"/>
      <c r="K18" s="24"/>
      <c r="L18" s="12"/>
      <c r="M18" s="30" t="str">
        <f aca="false">IF(AND(F18="合",H18="合"),"⚠ A 两只同时合",IF(AND(G18="合",I18="合"),"⚠ B 两只同时合",""))</f>
        <v/>
      </c>
    </row>
    <row r="19" customFormat="false" ht="15" hidden="false" customHeight="false" outlineLevel="0" collapsed="false">
      <c r="A19" s="12"/>
      <c r="B19" s="12"/>
      <c r="C19" s="12"/>
      <c r="D19" s="13"/>
      <c r="E19" s="13"/>
      <c r="F19" s="12"/>
      <c r="G19" s="12"/>
      <c r="H19" s="12"/>
      <c r="I19" s="12"/>
      <c r="J19" s="24"/>
      <c r="K19" s="24"/>
      <c r="L19" s="12"/>
      <c r="M19" s="30" t="str">
        <f aca="false">IF(AND(F19="合",H19="合"),"⚠ A 两只同时合",IF(AND(G19="合",I19="合"),"⚠ B 两只同时合",""))</f>
        <v/>
      </c>
    </row>
    <row r="20" customFormat="false" ht="15" hidden="false" customHeight="false" outlineLevel="0" collapsed="false">
      <c r="A20" s="12"/>
      <c r="B20" s="12"/>
      <c r="C20" s="12"/>
      <c r="D20" s="13"/>
      <c r="E20" s="13"/>
      <c r="F20" s="12"/>
      <c r="G20" s="12"/>
      <c r="H20" s="12"/>
      <c r="I20" s="12"/>
      <c r="J20" s="24"/>
      <c r="K20" s="24"/>
      <c r="L20" s="12"/>
      <c r="M20" s="30" t="str">
        <f aca="false">IF(AND(F20="合",H20="合"),"⚠ A 两只同时合",IF(AND(G20="合",I20="合"),"⚠ B 两只同时合",""))</f>
        <v/>
      </c>
    </row>
    <row r="21" customFormat="false" ht="15" hidden="false" customHeight="false" outlineLevel="0" collapsed="false">
      <c r="A21" s="12"/>
      <c r="B21" s="12"/>
      <c r="C21" s="12"/>
      <c r="D21" s="13"/>
      <c r="E21" s="13"/>
      <c r="F21" s="12"/>
      <c r="G21" s="12"/>
      <c r="H21" s="12"/>
      <c r="I21" s="12"/>
      <c r="J21" s="24"/>
      <c r="K21" s="24"/>
      <c r="L21" s="12"/>
      <c r="M21" s="30" t="str">
        <f aca="false">IF(AND(F21="合",H21="合"),"⚠ A 两只同时合",IF(AND(G21="合",I21="合"),"⚠ B 两只同时合",""))</f>
        <v/>
      </c>
    </row>
    <row r="22" customFormat="false" ht="15" hidden="false" customHeight="false" outlineLevel="0" collapsed="false">
      <c r="A22" s="12"/>
      <c r="B22" s="12"/>
      <c r="C22" s="12"/>
      <c r="D22" s="13"/>
      <c r="E22" s="13"/>
      <c r="F22" s="12"/>
      <c r="G22" s="12"/>
      <c r="H22" s="12"/>
      <c r="I22" s="12"/>
      <c r="J22" s="24"/>
      <c r="K22" s="24"/>
      <c r="L22" s="12"/>
      <c r="M22" s="30" t="str">
        <f aca="false">IF(AND(F22="合",H22="合"),"⚠ A 两只同时合",IF(AND(G22="合",I22="合"),"⚠ B 两只同时合",""))</f>
        <v/>
      </c>
    </row>
    <row r="23" customFormat="false" ht="15" hidden="false" customHeight="false" outlineLevel="0" collapsed="false">
      <c r="A23" s="12"/>
      <c r="B23" s="12"/>
      <c r="C23" s="12"/>
      <c r="D23" s="13"/>
      <c r="E23" s="13"/>
      <c r="F23" s="12"/>
      <c r="G23" s="12"/>
      <c r="H23" s="12"/>
      <c r="I23" s="12"/>
      <c r="J23" s="24"/>
      <c r="K23" s="24"/>
      <c r="L23" s="12"/>
      <c r="M23" s="30" t="str">
        <f aca="false">IF(AND(F23="合",H23="合"),"⚠ A 两只同时合",IF(AND(G23="合",I23="合"),"⚠ B 两只同时合",""))</f>
        <v/>
      </c>
    </row>
    <row r="24" customFormat="false" ht="15" hidden="false" customHeight="false" outlineLevel="0" collapsed="false">
      <c r="A24" s="12"/>
      <c r="B24" s="12"/>
      <c r="C24" s="12"/>
      <c r="D24" s="13"/>
      <c r="E24" s="13"/>
      <c r="F24" s="12"/>
      <c r="G24" s="12"/>
      <c r="H24" s="12"/>
      <c r="I24" s="12"/>
      <c r="J24" s="24"/>
      <c r="K24" s="24"/>
      <c r="L24" s="12"/>
      <c r="M24" s="30" t="str">
        <f aca="false">IF(AND(F24="合",H24="合"),"⚠ A 两只同时合",IF(AND(G24="合",I24="合"),"⚠ B 两只同时合",""))</f>
        <v/>
      </c>
    </row>
    <row r="25" customFormat="false" ht="15" hidden="false" customHeight="false" outlineLevel="0" collapsed="false">
      <c r="A25" s="12"/>
      <c r="B25" s="12"/>
      <c r="C25" s="12"/>
      <c r="D25" s="13"/>
      <c r="E25" s="13"/>
      <c r="F25" s="12"/>
      <c r="G25" s="12"/>
      <c r="H25" s="12"/>
      <c r="I25" s="12"/>
      <c r="J25" s="24"/>
      <c r="K25" s="24"/>
      <c r="L25" s="12"/>
      <c r="M25" s="30" t="str">
        <f aca="false">IF(AND(F25="合",H25="合"),"⚠ A 两只同时合",IF(AND(G25="合",I25="合"),"⚠ B 两只同时合",""))</f>
        <v/>
      </c>
    </row>
    <row r="26" customFormat="false" ht="15" hidden="false" customHeight="false" outlineLevel="0" collapsed="false">
      <c r="A26" s="12"/>
      <c r="B26" s="12"/>
      <c r="C26" s="12"/>
      <c r="D26" s="13"/>
      <c r="E26" s="13"/>
      <c r="F26" s="12"/>
      <c r="G26" s="12"/>
      <c r="H26" s="12"/>
      <c r="I26" s="12"/>
      <c r="J26" s="24"/>
      <c r="K26" s="24"/>
      <c r="L26" s="12"/>
      <c r="M26" s="30" t="str">
        <f aca="false">IF(AND(F26="合",H26="合"),"⚠ A 两只同时合",IF(AND(G26="合",I26="合"),"⚠ B 两只同时合",""))</f>
        <v/>
      </c>
    </row>
    <row r="27" customFormat="false" ht="15" hidden="false" customHeight="false" outlineLevel="0" collapsed="false">
      <c r="A27" s="12"/>
      <c r="B27" s="12"/>
      <c r="C27" s="12"/>
      <c r="D27" s="13"/>
      <c r="E27" s="13"/>
      <c r="F27" s="12"/>
      <c r="G27" s="12"/>
      <c r="H27" s="12"/>
      <c r="I27" s="12"/>
      <c r="J27" s="24"/>
      <c r="K27" s="24"/>
      <c r="L27" s="12"/>
      <c r="M27" s="30" t="str">
        <f aca="false">IF(AND(F27="合",H27="合"),"⚠ A 两只同时合",IF(AND(G27="合",I27="合"),"⚠ B 两只同时合",""))</f>
        <v/>
      </c>
    </row>
    <row r="28" customFormat="false" ht="15" hidden="false" customHeight="false" outlineLevel="0" collapsed="false">
      <c r="A28" s="12"/>
      <c r="B28" s="12"/>
      <c r="C28" s="12"/>
      <c r="D28" s="13"/>
      <c r="E28" s="13"/>
      <c r="F28" s="12"/>
      <c r="G28" s="12"/>
      <c r="H28" s="12"/>
      <c r="I28" s="12"/>
      <c r="J28" s="24"/>
      <c r="K28" s="24"/>
      <c r="L28" s="12"/>
      <c r="M28" s="30" t="str">
        <f aca="false">IF(AND(F28="合",H28="合"),"⚠ A 两只同时合",IF(AND(G28="合",I28="合"),"⚠ B 两只同时合",""))</f>
        <v/>
      </c>
    </row>
    <row r="29" customFormat="false" ht="15" hidden="false" customHeight="false" outlineLevel="0" collapsed="false">
      <c r="A29" s="12"/>
      <c r="B29" s="12"/>
      <c r="C29" s="12"/>
      <c r="D29" s="13"/>
      <c r="E29" s="13"/>
      <c r="F29" s="12"/>
      <c r="G29" s="12"/>
      <c r="H29" s="12"/>
      <c r="I29" s="12"/>
      <c r="J29" s="24"/>
      <c r="K29" s="24"/>
      <c r="L29" s="12"/>
      <c r="M29" s="30" t="str">
        <f aca="false">IF(AND(F29="合",H29="合"),"⚠ A 两只同时合",IF(AND(G29="合",I29="合"),"⚠ B 两只同时合",""))</f>
        <v/>
      </c>
    </row>
    <row r="30" customFormat="false" ht="15" hidden="false" customHeight="false" outlineLevel="0" collapsed="false">
      <c r="A30" s="12"/>
      <c r="B30" s="12"/>
      <c r="C30" s="12"/>
      <c r="D30" s="13"/>
      <c r="E30" s="13"/>
      <c r="F30" s="12"/>
      <c r="G30" s="12"/>
      <c r="H30" s="12"/>
      <c r="I30" s="12"/>
      <c r="J30" s="24"/>
      <c r="K30" s="24"/>
      <c r="L30" s="12"/>
      <c r="M30" s="30" t="str">
        <f aca="false">IF(AND(F30="合",H30="合"),"⚠ A 两只同时合",IF(AND(G30="合",I30="合"),"⚠ B 两只同时合",""))</f>
        <v/>
      </c>
    </row>
    <row r="31" customFormat="false" ht="15" hidden="false" customHeight="false" outlineLevel="0" collapsed="false">
      <c r="A31" s="12"/>
      <c r="B31" s="12"/>
      <c r="C31" s="12"/>
      <c r="D31" s="13"/>
      <c r="E31" s="13"/>
      <c r="F31" s="12"/>
      <c r="G31" s="12"/>
      <c r="H31" s="12"/>
      <c r="I31" s="12"/>
      <c r="J31" s="24"/>
      <c r="K31" s="24"/>
      <c r="L31" s="12"/>
      <c r="M31" s="30" t="str">
        <f aca="false">IF(AND(F31="合",H31="合"),"⚠ A 两只同时合",IF(AND(G31="合",I31="合"),"⚠ B 两只同时合",""))</f>
        <v/>
      </c>
    </row>
    <row r="32" customFormat="false" ht="15" hidden="false" customHeight="false" outlineLevel="0" collapsed="false">
      <c r="A32" s="12"/>
      <c r="B32" s="12"/>
      <c r="C32" s="12"/>
      <c r="D32" s="13"/>
      <c r="E32" s="13"/>
      <c r="F32" s="12"/>
      <c r="G32" s="12"/>
      <c r="H32" s="12"/>
      <c r="I32" s="12"/>
      <c r="J32" s="24"/>
      <c r="K32" s="24"/>
      <c r="L32" s="12"/>
      <c r="M32" s="30" t="str">
        <f aca="false">IF(AND(F32="合",H32="合"),"⚠ A 两只同时合",IF(AND(G32="合",I32="合"),"⚠ B 两只同时合",""))</f>
        <v/>
      </c>
    </row>
    <row r="33" customFormat="false" ht="15" hidden="false" customHeight="false" outlineLevel="0" collapsed="false">
      <c r="A33" s="12"/>
      <c r="B33" s="12"/>
      <c r="C33" s="12"/>
      <c r="D33" s="13"/>
      <c r="E33" s="13"/>
      <c r="F33" s="12"/>
      <c r="G33" s="12"/>
      <c r="H33" s="12"/>
      <c r="I33" s="12"/>
      <c r="J33" s="24"/>
      <c r="K33" s="24"/>
      <c r="L33" s="12"/>
      <c r="M33" s="30" t="str">
        <f aca="false">IF(AND(F33="合",H33="合"),"⚠ A 两只同时合",IF(AND(G33="合",I33="合"),"⚠ B 两只同时合",""))</f>
        <v/>
      </c>
    </row>
    <row r="34" customFormat="false" ht="15" hidden="false" customHeight="false" outlineLevel="0" collapsed="false">
      <c r="A34" s="12"/>
      <c r="B34" s="12"/>
      <c r="C34" s="12"/>
      <c r="D34" s="13"/>
      <c r="E34" s="13"/>
      <c r="F34" s="12"/>
      <c r="G34" s="12"/>
      <c r="H34" s="12"/>
      <c r="I34" s="12"/>
      <c r="J34" s="24"/>
      <c r="K34" s="24"/>
      <c r="L34" s="12"/>
      <c r="M34" s="30" t="str">
        <f aca="false">IF(AND(F34="合",H34="合"),"⚠ A 两只同时合",IF(AND(G34="合",I34="合"),"⚠ B 两只同时合",""))</f>
        <v/>
      </c>
    </row>
    <row r="35" customFormat="false" ht="15" hidden="false" customHeight="false" outlineLevel="0" collapsed="false">
      <c r="A35" s="12"/>
      <c r="B35" s="12"/>
      <c r="C35" s="12"/>
      <c r="D35" s="13"/>
      <c r="E35" s="13"/>
      <c r="F35" s="12"/>
      <c r="G35" s="12"/>
      <c r="H35" s="12"/>
      <c r="I35" s="12"/>
      <c r="J35" s="24"/>
      <c r="K35" s="24"/>
      <c r="L35" s="12"/>
      <c r="M35" s="30" t="str">
        <f aca="false">IF(AND(F35="合",H35="合"),"⚠ A 两只同时合",IF(AND(G35="合",I35="合"),"⚠ B 两只同时合",""))</f>
        <v/>
      </c>
    </row>
    <row r="36" customFormat="false" ht="15" hidden="false" customHeight="false" outlineLevel="0" collapsed="false">
      <c r="A36" s="12"/>
      <c r="B36" s="12"/>
      <c r="C36" s="12"/>
      <c r="D36" s="13"/>
      <c r="E36" s="13"/>
      <c r="F36" s="12"/>
      <c r="G36" s="12"/>
      <c r="H36" s="12"/>
      <c r="I36" s="12"/>
      <c r="J36" s="24"/>
      <c r="K36" s="24"/>
      <c r="L36" s="12"/>
      <c r="M36" s="30" t="str">
        <f aca="false">IF(AND(F36="合",H36="合"),"⚠ A 两只同时合",IF(AND(G36="合",I36="合"),"⚠ B 两只同时合",""))</f>
        <v/>
      </c>
    </row>
    <row r="37" customFormat="false" ht="15" hidden="false" customHeight="false" outlineLevel="0" collapsed="false">
      <c r="A37" s="12"/>
      <c r="B37" s="12"/>
      <c r="C37" s="12"/>
      <c r="D37" s="13"/>
      <c r="E37" s="13"/>
      <c r="F37" s="12"/>
      <c r="G37" s="12"/>
      <c r="H37" s="12"/>
      <c r="I37" s="12"/>
      <c r="J37" s="24"/>
      <c r="K37" s="24"/>
      <c r="L37" s="12"/>
      <c r="M37" s="30" t="str">
        <f aca="false">IF(AND(F37="合",H37="合"),"⚠ A 两只同时合",IF(AND(G37="合",I37="合"),"⚠ B 两只同时合",""))</f>
        <v/>
      </c>
    </row>
    <row r="38" customFormat="false" ht="15" hidden="false" customHeight="false" outlineLevel="0" collapsed="false">
      <c r="A38" s="12"/>
      <c r="B38" s="12"/>
      <c r="C38" s="12"/>
      <c r="D38" s="13"/>
      <c r="E38" s="13"/>
      <c r="F38" s="12"/>
      <c r="G38" s="12"/>
      <c r="H38" s="12"/>
      <c r="I38" s="12"/>
      <c r="J38" s="24"/>
      <c r="K38" s="24"/>
      <c r="L38" s="12"/>
      <c r="M38" s="30" t="str">
        <f aca="false">IF(AND(F38="合",H38="合"),"⚠ A 两只同时合",IF(AND(G38="合",I38="合"),"⚠ B 两只同时合",""))</f>
        <v/>
      </c>
    </row>
    <row r="39" customFormat="false" ht="15" hidden="false" customHeight="false" outlineLevel="0" collapsed="false">
      <c r="A39" s="12"/>
      <c r="B39" s="12"/>
      <c r="C39" s="12"/>
      <c r="D39" s="13"/>
      <c r="E39" s="13"/>
      <c r="F39" s="12"/>
      <c r="G39" s="12"/>
      <c r="H39" s="12"/>
      <c r="I39" s="12"/>
      <c r="J39" s="24"/>
      <c r="K39" s="24"/>
      <c r="L39" s="12"/>
      <c r="M39" s="30" t="str">
        <f aca="false">IF(AND(F39="合",H39="合"),"⚠ A 两只同时合",IF(AND(G39="合",I39="合"),"⚠ B 两只同时合",""))</f>
        <v/>
      </c>
    </row>
    <row r="40" customFormat="false" ht="15" hidden="false" customHeight="false" outlineLevel="0" collapsed="false">
      <c r="A40" s="12"/>
      <c r="B40" s="12"/>
      <c r="C40" s="12"/>
      <c r="D40" s="13"/>
      <c r="E40" s="13"/>
      <c r="F40" s="12"/>
      <c r="G40" s="12"/>
      <c r="H40" s="12"/>
      <c r="I40" s="12"/>
      <c r="J40" s="24"/>
      <c r="K40" s="24"/>
      <c r="L40" s="12"/>
      <c r="M40" s="30" t="str">
        <f aca="false">IF(AND(F40="合",H40="合"),"⚠ A 两只同时合",IF(AND(G40="合",I40="合"),"⚠ B 两只同时合",""))</f>
        <v/>
      </c>
    </row>
    <row r="41" customFormat="false" ht="15" hidden="false" customHeight="false" outlineLevel="0" collapsed="false">
      <c r="A41" s="12"/>
      <c r="B41" s="12"/>
      <c r="C41" s="12"/>
      <c r="D41" s="13"/>
      <c r="E41" s="13"/>
      <c r="F41" s="12"/>
      <c r="G41" s="12"/>
      <c r="H41" s="12"/>
      <c r="I41" s="12"/>
      <c r="J41" s="24"/>
      <c r="K41" s="24"/>
      <c r="L41" s="12"/>
      <c r="M41" s="30" t="str">
        <f aca="false">IF(AND(F41="合",H41="合"),"⚠ A 两只同时合",IF(AND(G41="合",I41="合"),"⚠ B 两只同时合",""))</f>
        <v/>
      </c>
    </row>
    <row r="42" customFormat="false" ht="15" hidden="false" customHeight="false" outlineLevel="0" collapsed="false">
      <c r="A42" s="12"/>
      <c r="B42" s="12"/>
      <c r="C42" s="12"/>
      <c r="D42" s="13"/>
      <c r="E42" s="13"/>
      <c r="F42" s="12"/>
      <c r="G42" s="12"/>
      <c r="H42" s="12"/>
      <c r="I42" s="12"/>
      <c r="J42" s="24"/>
      <c r="K42" s="24"/>
      <c r="L42" s="12"/>
      <c r="M42" s="30" t="str">
        <f aca="false">IF(AND(F42="合",H42="合"),"⚠ A 两只同时合",IF(AND(G42="合",I42="合"),"⚠ B 两只同时合",""))</f>
        <v/>
      </c>
    </row>
    <row r="43" customFormat="false" ht="15" hidden="false" customHeight="false" outlineLevel="0" collapsed="false">
      <c r="A43" s="12"/>
      <c r="B43" s="12"/>
      <c r="C43" s="12"/>
      <c r="D43" s="13"/>
      <c r="E43" s="13"/>
      <c r="F43" s="12"/>
      <c r="G43" s="12"/>
      <c r="H43" s="12"/>
      <c r="I43" s="12"/>
      <c r="J43" s="24"/>
      <c r="K43" s="24"/>
      <c r="L43" s="12"/>
      <c r="M43" s="30" t="str">
        <f aca="false">IF(AND(F43="合",H43="合"),"⚠ A 两只同时合",IF(AND(G43="合",I43="合"),"⚠ B 两只同时合",""))</f>
        <v/>
      </c>
    </row>
    <row r="44" customFormat="false" ht="15" hidden="false" customHeight="false" outlineLevel="0" collapsed="false">
      <c r="A44" s="12"/>
      <c r="B44" s="12"/>
      <c r="C44" s="12"/>
      <c r="D44" s="13"/>
      <c r="E44" s="13"/>
      <c r="F44" s="12"/>
      <c r="G44" s="12"/>
      <c r="H44" s="12"/>
      <c r="I44" s="12"/>
      <c r="J44" s="24"/>
      <c r="K44" s="24"/>
      <c r="L44" s="12"/>
      <c r="M44" s="30" t="str">
        <f aca="false">IF(AND(F44="合",H44="合"),"⚠ A 两只同时合",IF(AND(G44="合",I44="合"),"⚠ B 两只同时合",""))</f>
        <v/>
      </c>
    </row>
    <row r="45" customFormat="false" ht="15" hidden="false" customHeight="false" outlineLevel="0" collapsed="false">
      <c r="A45" s="12"/>
      <c r="B45" s="12"/>
      <c r="C45" s="12"/>
      <c r="D45" s="13"/>
      <c r="E45" s="13"/>
      <c r="F45" s="12"/>
      <c r="G45" s="12"/>
      <c r="H45" s="12"/>
      <c r="I45" s="12"/>
      <c r="J45" s="24"/>
      <c r="K45" s="24"/>
      <c r="L45" s="12"/>
      <c r="M45" s="30" t="str">
        <f aca="false">IF(AND(F45="合",H45="合"),"⚠ A 两只同时合",IF(AND(G45="合",I45="合"),"⚠ B 两只同时合",""))</f>
        <v/>
      </c>
    </row>
    <row r="46" customFormat="false" ht="15" hidden="false" customHeight="false" outlineLevel="0" collapsed="false">
      <c r="A46" s="12"/>
      <c r="B46" s="12"/>
      <c r="C46" s="12"/>
      <c r="D46" s="13"/>
      <c r="E46" s="13"/>
      <c r="F46" s="12"/>
      <c r="G46" s="12"/>
      <c r="H46" s="12"/>
      <c r="I46" s="12"/>
      <c r="J46" s="24"/>
      <c r="K46" s="24"/>
      <c r="L46" s="12"/>
      <c r="M46" s="30" t="str">
        <f aca="false">IF(AND(F46="合",H46="合"),"⚠ A 两只同时合",IF(AND(G46="合",I46="合"),"⚠ B 两只同时合",""))</f>
        <v/>
      </c>
    </row>
    <row r="47" customFormat="false" ht="15" hidden="false" customHeight="false" outlineLevel="0" collapsed="false">
      <c r="A47" s="12"/>
      <c r="B47" s="12"/>
      <c r="C47" s="12"/>
      <c r="D47" s="13"/>
      <c r="E47" s="13"/>
      <c r="F47" s="12"/>
      <c r="G47" s="12"/>
      <c r="H47" s="12"/>
      <c r="I47" s="12"/>
      <c r="J47" s="24"/>
      <c r="K47" s="24"/>
      <c r="L47" s="12"/>
      <c r="M47" s="30" t="str">
        <f aca="false">IF(AND(F47="合",H47="合"),"⚠ A 两只同时合",IF(AND(G47="合",I47="合"),"⚠ B 两只同时合",""))</f>
        <v/>
      </c>
    </row>
    <row r="48" customFormat="false" ht="15" hidden="false" customHeight="false" outlineLevel="0" collapsed="false">
      <c r="A48" s="12"/>
      <c r="B48" s="12"/>
      <c r="C48" s="12"/>
      <c r="D48" s="13"/>
      <c r="E48" s="13"/>
      <c r="F48" s="12"/>
      <c r="G48" s="12"/>
      <c r="H48" s="12"/>
      <c r="I48" s="12"/>
      <c r="J48" s="24"/>
      <c r="K48" s="24"/>
      <c r="L48" s="12"/>
      <c r="M48" s="30" t="str">
        <f aca="false">IF(AND(F48="合",H48="合"),"⚠ A 两只同时合",IF(AND(G48="合",I48="合"),"⚠ B 两只同时合",""))</f>
        <v/>
      </c>
    </row>
    <row r="50" customFormat="false" ht="77.6" hidden="false" customHeight="false" outlineLevel="0" collapsed="false">
      <c r="A50" s="31" t="s">
        <v>127</v>
      </c>
    </row>
    <row r="51" customFormat="false" ht="64.9" hidden="false" customHeight="false" outlineLevel="0" collapsed="false">
      <c r="A51" s="31" t="s">
        <v>128</v>
      </c>
    </row>
  </sheetData>
  <mergeCells count="6">
    <mergeCell ref="B4:C4"/>
    <mergeCell ref="E4:F4"/>
    <mergeCell ref="B5:C5"/>
    <mergeCell ref="E5:F5"/>
    <mergeCell ref="B6:C6"/>
    <mergeCell ref="E6:F6"/>
  </mergeCells>
  <dataValidations count="3">
    <dataValidation allowBlank="true" errorStyle="stop" operator="between" showDropDown="false" showErrorMessage="false" showInputMessage="false" sqref="B9:B48" type="list">
      <formula1>"A,B"</formula1>
      <formula2>0</formula2>
    </dataValidation>
    <dataValidation allowBlank="true" errorStyle="stop" operator="between" showDropDown="false" showErrorMessage="false" showInputMessage="false" sqref="C9:C48" type="list">
      <formula1>"下发目标,自动换挡,停控,安全停机,手扳模块,面板温控关"</formula1>
      <formula2>0</formula2>
    </dataValidation>
    <dataValidation allowBlank="true" errorStyle="stop" operator="between" showDropDown="false" showErrorMessage="false" showInputMessage="false" sqref="F9:I48" type="list">
      <formula1>"合,断"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15" hidden="false" customHeight="false" outlineLevel="0" collapsed="false">
      <c r="A4" s="16" t="s">
        <v>131</v>
      </c>
      <c r="B4" s="16" t="s">
        <v>132</v>
      </c>
      <c r="C4" s="16" t="s">
        <v>133</v>
      </c>
      <c r="D4" s="16" t="s">
        <v>134</v>
      </c>
    </row>
    <row r="5" customFormat="false" ht="15" hidden="false" customHeight="false" outlineLevel="0" collapsed="false">
      <c r="A5" s="10" t="s">
        <v>135</v>
      </c>
      <c r="B5" s="23" t="n">
        <f aca="false">最低温!M11</f>
        <v>23.5</v>
      </c>
      <c r="C5" s="23" t="n">
        <f aca="false">最低温!M18</f>
        <v>23.4</v>
      </c>
      <c r="D5" s="32" t="s">
        <v>136</v>
      </c>
    </row>
    <row r="6" customFormat="false" ht="15" hidden="false" customHeight="false" outlineLevel="0" collapsed="false">
      <c r="A6" s="10" t="s">
        <v>137</v>
      </c>
      <c r="B6" s="22" t="str">
        <f aca="false">最低温!M12</f>
        <v>未到</v>
      </c>
      <c r="C6" s="22" t="str">
        <f aca="false">最低温!M19</f>
        <v>未到</v>
      </c>
      <c r="D6" s="32" t="s">
        <v>138</v>
      </c>
    </row>
    <row r="7" customFormat="false" ht="15" hidden="false" customHeight="false" outlineLevel="0" collapsed="false">
      <c r="A7" s="10" t="s">
        <v>139</v>
      </c>
      <c r="B7" s="23" t="n">
        <f aca="false">最低温!M13</f>
        <v>53.5</v>
      </c>
      <c r="C7" s="23" t="n">
        <f aca="false">最低温!M20</f>
        <v>53.4</v>
      </c>
      <c r="D7" s="32" t="s">
        <v>140</v>
      </c>
    </row>
    <row r="8" customFormat="false" ht="15" hidden="false" customHeight="false" outlineLevel="0" collapsed="false">
      <c r="A8" s="10" t="s">
        <v>141</v>
      </c>
      <c r="B8" s="25" t="str">
        <f aca="false">最低温!M14</f>
        <v/>
      </c>
      <c r="C8" s="25" t="str">
        <f aca="false">最低温!M21</f>
        <v/>
      </c>
      <c r="D8" s="32"/>
    </row>
    <row r="9" customFormat="false" ht="15" hidden="false" customHeight="false" outlineLevel="0" collapsed="false">
      <c r="A9" s="10" t="s">
        <v>142</v>
      </c>
      <c r="B9" s="26" t="n">
        <f aca="false">最低温!M16</f>
        <v>4.2</v>
      </c>
      <c r="C9" s="26" t="n">
        <f aca="false">最低温!M23</f>
        <v>4.1</v>
      </c>
      <c r="D9" s="32" t="s">
        <v>143</v>
      </c>
    </row>
    <row r="10" customFormat="false" ht="15" hidden="false" customHeight="false" outlineLevel="0" collapsed="false">
      <c r="A10" s="10" t="s">
        <v>144</v>
      </c>
      <c r="B10" s="23" t="n">
        <f aca="false">最高温!M12</f>
        <v>24</v>
      </c>
      <c r="C10" s="23" t="n">
        <f aca="false">最高温!M19</f>
        <v>24.1</v>
      </c>
      <c r="D10" s="32" t="s">
        <v>145</v>
      </c>
    </row>
    <row r="11" customFormat="false" ht="15" hidden="false" customHeight="false" outlineLevel="0" collapsed="false">
      <c r="A11" s="10" t="s">
        <v>146</v>
      </c>
      <c r="B11" s="22" t="str">
        <f aca="false">最高温!M13</f>
        <v>未到</v>
      </c>
      <c r="C11" s="22" t="str">
        <f aca="false">最高温!M20</f>
        <v>未到</v>
      </c>
      <c r="D11" s="32"/>
    </row>
    <row r="12" customFormat="false" ht="15" hidden="false" customHeight="false" outlineLevel="0" collapsed="false">
      <c r="A12" s="10" t="s">
        <v>147</v>
      </c>
      <c r="B12" s="23" t="n">
        <f aca="false">最高温!M14</f>
        <v>0</v>
      </c>
      <c r="C12" s="23" t="n">
        <f aca="false">最高温!M21</f>
        <v>0</v>
      </c>
      <c r="D12" s="32" t="s">
        <v>148</v>
      </c>
    </row>
    <row r="13" customFormat="false" ht="15" hidden="false" customHeight="false" outlineLevel="0" collapsed="false">
      <c r="A13" s="10" t="s">
        <v>149</v>
      </c>
      <c r="B13" s="25" t="str">
        <f aca="false">最高温!M15</f>
        <v/>
      </c>
      <c r="C13" s="25" t="str">
        <f aca="false">最高温!M22</f>
        <v/>
      </c>
      <c r="D13" s="32"/>
    </row>
    <row r="14" customFormat="false" ht="15" hidden="false" customHeight="false" outlineLevel="0" collapsed="false">
      <c r="A14" s="10" t="s">
        <v>150</v>
      </c>
      <c r="B14" s="22" t="str">
        <f aca="false">尽快vs按速率!M10</f>
        <v>未到</v>
      </c>
      <c r="C14" s="22" t="str">
        <f aca="false">尽快vs按速率!M11</f>
        <v>未到</v>
      </c>
      <c r="D14" s="32" t="s">
        <v>151</v>
      </c>
    </row>
    <row r="15" customFormat="false" ht="15" hidden="false" customHeight="false" outlineLevel="0" collapsed="false">
      <c r="A15" s="10" t="s">
        <v>152</v>
      </c>
      <c r="B15" s="33" t="s">
        <v>153</v>
      </c>
      <c r="C15" s="23" t="n">
        <f aca="false">尽快vs按速率!M12</f>
        <v>46.8</v>
      </c>
      <c r="D15" s="34" t="s">
        <v>154</v>
      </c>
    </row>
    <row r="16" customFormat="false" ht="15" hidden="false" customHeight="false" outlineLevel="0" collapsed="false">
      <c r="A16" s="10" t="s">
        <v>155</v>
      </c>
      <c r="B16" s="33" t="s">
        <v>153</v>
      </c>
      <c r="C16" s="23" t="n">
        <f aca="false">尽快vs按速率!M13</f>
        <v>0</v>
      </c>
      <c r="D16" s="32" t="s">
        <v>156</v>
      </c>
    </row>
    <row r="17" customFormat="false" ht="15" hidden="false" customHeight="false" outlineLevel="0" collapsed="false">
      <c r="A17" s="10" t="s">
        <v>157</v>
      </c>
      <c r="B17" s="25" t="n">
        <f aca="false">恒温稳定性!J11</f>
        <v>0</v>
      </c>
      <c r="C17" s="25" t="n">
        <f aca="false">恒温稳定性!J18</f>
        <v>0</v>
      </c>
      <c r="D17" s="32" t="s">
        <v>158</v>
      </c>
    </row>
    <row r="18" customFormat="false" ht="15" hidden="false" customHeight="false" outlineLevel="0" collapsed="false">
      <c r="A18" s="10" t="s">
        <v>159</v>
      </c>
      <c r="B18" s="25" t="n">
        <f aca="false">恒温稳定性!J13</f>
        <v>0</v>
      </c>
      <c r="C18" s="25" t="n">
        <f aca="false">恒温稳定性!J20</f>
        <v>0</v>
      </c>
      <c r="D18" s="32"/>
    </row>
    <row r="19" customFormat="false" ht="15" hidden="false" customHeight="false" outlineLevel="0" collapsed="false">
      <c r="A19" s="10" t="s">
        <v>160</v>
      </c>
      <c r="B19" s="25" t="n">
        <f aca="false">恒温稳定性!J14</f>
        <v>0</v>
      </c>
      <c r="C19" s="25" t="n">
        <f aca="false">恒温稳定性!J21</f>
        <v>0</v>
      </c>
      <c r="D19" s="32"/>
    </row>
    <row r="20" customFormat="false" ht="15" hidden="false" customHeight="false" outlineLevel="0" collapsed="false">
      <c r="A20" s="10" t="s">
        <v>161</v>
      </c>
      <c r="B20" s="22" t="n">
        <f aca="false">恒温稳定性!J23</f>
        <v>0</v>
      </c>
      <c r="C20" s="33" t="s">
        <v>153</v>
      </c>
      <c r="D20" s="32" t="s">
        <v>162</v>
      </c>
    </row>
    <row r="21" customFormat="false" ht="15" hidden="false" customHeight="false" outlineLevel="0" collapsed="false">
      <c r="A21" s="10" t="s">
        <v>163</v>
      </c>
      <c r="B21" s="22" t="n">
        <f aca="false">SUMPRODUCT(--(LEN(换向与死区!M9:M48)&gt;0))</f>
        <v>0</v>
      </c>
      <c r="C21" s="33" t="s">
        <v>153</v>
      </c>
      <c r="D21" s="3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2026-09-22T05:50:22Z</dcterms:created>
  <dc:creator>openpyxl</dc:creator>
  <dc:description/>
  <dc:language>en-US</dc:language>
  <cp:lastModifiedBy/>
  <dcterms:modified xsi:type="dcterms:W3CDTF">2026-09-22T05:50:22Z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