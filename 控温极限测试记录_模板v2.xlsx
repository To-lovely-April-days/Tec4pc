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xl/worksheets/sheet6.xml" ContentType="application/vnd.openxmlformats-officedocument.spreadsheetml.worksheet+xml"/>
  <Override PartName="/xl/comments5.xml" ContentType="application/vnd.openxmlformats-officedocument.spreadsheetml.comments+xml"/>
  <Override PartName="/xl/worksheets/sheet7.xml" ContentType="application/vnd.openxmlformats-officedocument.spreadsheetml.worksheet+xml"/>
  <Override PartName="/xl/comments6.xml" ContentType="application/vnd.openxmlformats-officedocument.spreadsheetml.comments+xml"/>
  <Override PartName="/xl/worksheets/sheet8.xml" ContentType="application/vnd.openxmlformats-officedocument.spreadsheetml.worksheet+xml"/>
  <Override PartName="/xl/comments7.xml" ContentType="application/vnd.openxmlformats-officedocument.spreadsheetml.comments+xml"/>
  <Override PartName="/xl/worksheets/sheet9.xml" ContentType="application/vnd.openxmlformats-officedocument.spreadsheetml.worksheet+xml"/>
  <Override PartName="/xl/comments8.xml" ContentType="application/vnd.openxmlformats-officedocument.spreadsheetml.comments+xml"/>
  <Override PartName="/xl/worksheets/sheet10.xml" ContentType="application/vnd.openxmlformats-officedocument.spreadsheetml.worksheet+xml"/>
  <Override PartName="/xl/comments9.xml" ContentType="application/vnd.openxmlformats-officedocument.spreadsheetml.comments+xml"/>
  <Override PartName="/xl/worksheets/sheet1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f8c7d2530b43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22d2a2651f48b593b95fc13a2953c2.psmdcp" Id="R256673d7894045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说明" sheetId="1" r:id="rId2"/>
    <x:sheet name="最低温 20℃" sheetId="2" r:id="rId3"/>
    <x:sheet name="最低温 15℃" sheetId="3" r:id="rId4"/>
    <x:sheet name="最低温 7℃" sheetId="4" r:id="rId5"/>
    <x:sheet name="最高温 20℃" sheetId="5" r:id="rId6"/>
    <x:sheet name="最高温 15℃" sheetId="6" r:id="rId7"/>
    <x:sheet name="最高温 7℃" sheetId="7" r:id="rId8"/>
    <x:sheet name="恒温 20℃" sheetId="8" r:id="rId9"/>
    <x:sheet name="恒温 15℃" sheetId="9" r:id="rId10"/>
    <x:sheet name="恒温 7℃" sheetId="10" r:id="rId11"/>
    <x:sheet name="结果汇总" sheetId="11" r:id="rId12"/>
  </x:sheets>
  <x:definedNames/>
  <x:calcPr calcId="125725" calcMode="auto" fullCalcOnLoad="1"/>
</x:workbook>
</file>

<file path=xl/calcChain.xml><?xml version="1.0" encoding="utf-8"?>
<x:calcChain xmlns:x="http://schemas.openxmlformats.org/spreadsheetml/2006/main">
  <x:c r="M12" i="2"/>
  <x:c r="N12" i="2"/>
  <x:c r="Q12" i="2"/>
  <x:c r="M13" i="2"/>
  <x:c r="N13" i="2"/>
  <x:c r="Q13" i="2"/>
  <x:c r="M14" i="2"/>
  <x:c r="N14" i="2"/>
  <x:c r="Q14" i="2"/>
  <x:c r="M15" i="2"/>
  <x:c r="N15" i="2"/>
  <x:c r="Q15" i="2"/>
  <x:c r="M16" i="2"/>
  <x:c r="N16" i="2"/>
  <x:c r="Q16" i="2"/>
  <x:c r="M17" i="2"/>
  <x:c r="N17" i="2"/>
  <x:c r="Q17" i="2"/>
  <x:c r="M18" i="2"/>
  <x:c r="N18" i="2"/>
  <x:c r="Q18" i="2"/>
  <x:c r="M19" i="2"/>
  <x:c r="N19" i="2"/>
  <x:c r="M20" i="2"/>
  <x:c r="N20" i="2"/>
  <x:c r="Q20" i="2"/>
  <x:c r="M21" i="2"/>
  <x:c r="N21" i="2"/>
  <x:c r="Q21" i="2"/>
  <x:c r="M22" i="2"/>
  <x:c r="N22" i="2"/>
  <x:c r="Q22" i="2"/>
  <x:c r="M23" i="2"/>
  <x:c r="N23" i="2"/>
  <x:c r="Q23" i="2"/>
  <x:c r="M24" i="2"/>
  <x:c r="N24" i="2"/>
  <x:c r="Q24" i="2"/>
  <x:c r="M25" i="2"/>
  <x:c r="N25" i="2"/>
  <x:c r="Q25" i="2"/>
  <x:c r="M26" i="2"/>
  <x:c r="N26" i="2"/>
  <x:c r="Q26" i="2"/>
  <x:c r="M27" i="2"/>
  <x:c r="N27" i="2"/>
  <x:c r="M28" i="2"/>
  <x:c r="N28" i="2"/>
  <x:c r="M29" i="2"/>
  <x:c r="N29" i="2"/>
  <x:c r="M30" i="2"/>
  <x:c r="N30" i="2"/>
  <x:c r="M31" i="2"/>
  <x:c r="N31" i="2"/>
  <x:c r="M32" i="2"/>
  <x:c r="N32" i="2"/>
  <x:c r="M33" i="2"/>
  <x:c r="N33" i="2"/>
  <x:c r="M34" i="2"/>
  <x:c r="N34" i="2"/>
  <x:c r="M35" i="2"/>
  <x:c r="N35" i="2"/>
  <x:c r="M36" i="2"/>
  <x:c r="N36" i="2"/>
  <x:c r="M37" i="2"/>
  <x:c r="N37" i="2"/>
  <x:c r="M38" i="2"/>
  <x:c r="N38" i="2"/>
  <x:c r="M39" i="2"/>
  <x:c r="N39" i="2"/>
  <x:c r="M40" i="2"/>
  <x:c r="N40" i="2"/>
  <x:c r="M41" i="2"/>
  <x:c r="N41" i="2"/>
  <x:c r="M42" i="2"/>
  <x:c r="N42" i="2"/>
  <x:c r="M43" i="2"/>
  <x:c r="N43" i="2"/>
  <x:c r="M44" i="2"/>
  <x:c r="N44" i="2"/>
  <x:c r="M45" i="2"/>
  <x:c r="N45" i="2"/>
  <x:c r="M46" i="2"/>
  <x:c r="N46" i="2"/>
  <x:c r="M47" i="2"/>
  <x:c r="N47" i="2"/>
  <x:c r="M48" i="2"/>
  <x:c r="N48" i="2"/>
  <x:c r="M49" i="2"/>
  <x:c r="N49" i="2"/>
  <x:c r="M50" i="2"/>
  <x:c r="N50" i="2"/>
  <x:c r="M51" i="2"/>
  <x:c r="N51" i="2"/>
  <x:c r="M52" i="2"/>
  <x:c r="N52" i="2"/>
  <x:c r="M53" i="2"/>
  <x:c r="N53" i="2"/>
  <x:c r="M54" i="2"/>
  <x:c r="N54" i="2"/>
  <x:c r="M55" i="2"/>
  <x:c r="N55" i="2"/>
  <x:c r="M56" i="2"/>
  <x:c r="N56" i="2"/>
  <x:c r="M57" i="2"/>
  <x:c r="N57" i="2"/>
  <x:c r="M58" i="2"/>
  <x:c r="N58" i="2"/>
  <x:c r="M59" i="2"/>
  <x:c r="N59" i="2"/>
  <x:c r="M60" i="2"/>
  <x:c r="N60" i="2"/>
  <x:c r="M61" i="2"/>
  <x:c r="N61" i="2"/>
  <x:c r="M62" i="2"/>
  <x:c r="N62" i="2"/>
  <x:c r="M63" i="2"/>
  <x:c r="N63" i="2"/>
  <x:c r="M64" i="2"/>
  <x:c r="N64" i="2"/>
  <x:c r="M65" i="2"/>
  <x:c r="N65" i="2"/>
  <x:c r="M66" i="2"/>
  <x:c r="N66" i="2"/>
  <x:c r="M67" i="2"/>
  <x:c r="N67" i="2"/>
  <x:c r="M68" i="2"/>
  <x:c r="N68" i="2"/>
  <x:c r="M69" i="2"/>
  <x:c r="N69" i="2"/>
  <x:c r="M70" i="2"/>
  <x:c r="N70" i="2"/>
  <x:c r="M71" i="2"/>
  <x:c r="N71" i="2"/>
  <x:c r="M72" i="2"/>
  <x:c r="N72" i="2"/>
  <x:c r="M12" i="3"/>
  <x:c r="N12" i="3"/>
  <x:c r="Q12" i="3"/>
  <x:c r="M13" i="3"/>
  <x:c r="N13" i="3"/>
  <x:c r="Q13" i="3"/>
  <x:c r="M14" i="3"/>
  <x:c r="N14" i="3"/>
  <x:c r="Q14" i="3"/>
  <x:c r="M15" i="3"/>
  <x:c r="N15" i="3"/>
  <x:c r="Q15" i="3"/>
  <x:c r="M16" i="3"/>
  <x:c r="N16" i="3"/>
  <x:c r="Q16" i="3"/>
  <x:c r="M17" i="3"/>
  <x:c r="N17" i="3"/>
  <x:c r="Q17" i="3"/>
  <x:c r="M18" i="3"/>
  <x:c r="N18" i="3"/>
  <x:c r="Q18" i="3"/>
  <x:c r="M19" i="3"/>
  <x:c r="N19" i="3"/>
  <x:c r="M20" i="3"/>
  <x:c r="N20" i="3"/>
  <x:c r="Q20" i="3"/>
  <x:c r="M21" i="3"/>
  <x:c r="N21" i="3"/>
  <x:c r="Q21" i="3"/>
  <x:c r="M22" i="3"/>
  <x:c r="N22" i="3"/>
  <x:c r="Q22" i="3"/>
  <x:c r="M23" i="3"/>
  <x:c r="N23" i="3"/>
  <x:c r="Q23" i="3"/>
  <x:c r="M24" i="3"/>
  <x:c r="N24" i="3"/>
  <x:c r="Q24" i="3"/>
  <x:c r="M25" i="3"/>
  <x:c r="N25" i="3"/>
  <x:c r="Q25" i="3"/>
  <x:c r="M26" i="3"/>
  <x:c r="N26" i="3"/>
  <x:c r="Q26" i="3"/>
  <x:c r="M27" i="3"/>
  <x:c r="N27" i="3"/>
  <x:c r="M28" i="3"/>
  <x:c r="N28" i="3"/>
  <x:c r="M29" i="3"/>
  <x:c r="N29" i="3"/>
  <x:c r="M30" i="3"/>
  <x:c r="N30" i="3"/>
  <x:c r="M31" i="3"/>
  <x:c r="N31" i="3"/>
  <x:c r="M32" i="3"/>
  <x:c r="N32" i="3"/>
  <x:c r="M33" i="3"/>
  <x:c r="N33" i="3"/>
  <x:c r="M34" i="3"/>
  <x:c r="N34" i="3"/>
  <x:c r="M35" i="3"/>
  <x:c r="N35" i="3"/>
  <x:c r="M36" i="3"/>
  <x:c r="N36" i="3"/>
  <x:c r="M37" i="3"/>
  <x:c r="N37" i="3"/>
  <x:c r="M38" i="3"/>
  <x:c r="N38" i="3"/>
  <x:c r="M39" i="3"/>
  <x:c r="N39" i="3"/>
  <x:c r="M40" i="3"/>
  <x:c r="N40" i="3"/>
  <x:c r="M41" i="3"/>
  <x:c r="N41" i="3"/>
  <x:c r="M42" i="3"/>
  <x:c r="N42" i="3"/>
  <x:c r="M43" i="3"/>
  <x:c r="N43" i="3"/>
  <x:c r="M44" i="3"/>
  <x:c r="N44" i="3"/>
  <x:c r="M45" i="3"/>
  <x:c r="N45" i="3"/>
  <x:c r="M46" i="3"/>
  <x:c r="N46" i="3"/>
  <x:c r="M47" i="3"/>
  <x:c r="N47" i="3"/>
  <x:c r="M48" i="3"/>
  <x:c r="N48" i="3"/>
  <x:c r="M49" i="3"/>
  <x:c r="N49" i="3"/>
  <x:c r="M50" i="3"/>
  <x:c r="N50" i="3"/>
  <x:c r="M51" i="3"/>
  <x:c r="N51" i="3"/>
  <x:c r="M52" i="3"/>
  <x:c r="N52" i="3"/>
  <x:c r="M53" i="3"/>
  <x:c r="N53" i="3"/>
  <x:c r="M54" i="3"/>
  <x:c r="N54" i="3"/>
  <x:c r="M55" i="3"/>
  <x:c r="N55" i="3"/>
  <x:c r="M56" i="3"/>
  <x:c r="N56" i="3"/>
  <x:c r="M57" i="3"/>
  <x:c r="N57" i="3"/>
  <x:c r="M58" i="3"/>
  <x:c r="N58" i="3"/>
  <x:c r="M59" i="3"/>
  <x:c r="N59" i="3"/>
  <x:c r="M60" i="3"/>
  <x:c r="N60" i="3"/>
  <x:c r="M61" i="3"/>
  <x:c r="N61" i="3"/>
  <x:c r="M62" i="3"/>
  <x:c r="N62" i="3"/>
  <x:c r="M63" i="3"/>
  <x:c r="N63" i="3"/>
  <x:c r="M64" i="3"/>
  <x:c r="N64" i="3"/>
  <x:c r="M65" i="3"/>
  <x:c r="N65" i="3"/>
  <x:c r="M66" i="3"/>
  <x:c r="N66" i="3"/>
  <x:c r="M67" i="3"/>
  <x:c r="N67" i="3"/>
  <x:c r="M68" i="3"/>
  <x:c r="N68" i="3"/>
  <x:c r="M69" i="3"/>
  <x:c r="N69" i="3"/>
  <x:c r="M70" i="3"/>
  <x:c r="N70" i="3"/>
  <x:c r="M71" i="3"/>
  <x:c r="N71" i="3"/>
  <x:c r="M72" i="3"/>
  <x:c r="N72" i="3"/>
  <x:c r="M12" i="4"/>
  <x:c r="N12" i="4"/>
  <x:c r="Q12" i="4"/>
  <x:c r="M13" i="4"/>
  <x:c r="N13" i="4"/>
  <x:c r="Q13" i="4"/>
  <x:c r="M14" i="4"/>
  <x:c r="N14" i="4"/>
  <x:c r="Q14" i="4"/>
  <x:c r="M15" i="4"/>
  <x:c r="N15" i="4"/>
  <x:c r="Q15" i="4"/>
  <x:c r="M16" i="4"/>
  <x:c r="N16" i="4"/>
  <x:c r="Q16" i="4"/>
  <x:c r="M17" i="4"/>
  <x:c r="N17" i="4"/>
  <x:c r="Q17" i="4"/>
  <x:c r="M18" i="4"/>
  <x:c r="N18" i="4"/>
  <x:c r="Q18" i="4"/>
  <x:c r="M19" i="4"/>
  <x:c r="N19" i="4"/>
  <x:c r="M20" i="4"/>
  <x:c r="N20" i="4"/>
  <x:c r="Q20" i="4"/>
  <x:c r="M21" i="4"/>
  <x:c r="N21" i="4"/>
  <x:c r="Q21" i="4"/>
  <x:c r="M22" i="4"/>
  <x:c r="N22" i="4"/>
  <x:c r="Q22" i="4"/>
  <x:c r="M23" i="4"/>
  <x:c r="N23" i="4"/>
  <x:c r="Q23" i="4"/>
  <x:c r="M24" i="4"/>
  <x:c r="N24" i="4"/>
  <x:c r="Q24" i="4"/>
  <x:c r="M25" i="4"/>
  <x:c r="N25" i="4"/>
  <x:c r="Q25" i="4"/>
  <x:c r="M26" i="4"/>
  <x:c r="N26" i="4"/>
  <x:c r="Q26" i="4"/>
  <x:c r="M27" i="4"/>
  <x:c r="N27" i="4"/>
  <x:c r="M28" i="4"/>
  <x:c r="N28" i="4"/>
  <x:c r="M29" i="4"/>
  <x:c r="N29" i="4"/>
  <x:c r="M30" i="4"/>
  <x:c r="N30" i="4"/>
  <x:c r="M31" i="4"/>
  <x:c r="N31" i="4"/>
  <x:c r="M32" i="4"/>
  <x:c r="N32" i="4"/>
  <x:c r="M33" i="4"/>
  <x:c r="N33" i="4"/>
  <x:c r="M34" i="4"/>
  <x:c r="N34" i="4"/>
  <x:c r="M35" i="4"/>
  <x:c r="N35" i="4"/>
  <x:c r="M36" i="4"/>
  <x:c r="N36" i="4"/>
  <x:c r="M37" i="4"/>
  <x:c r="N37" i="4"/>
  <x:c r="M38" i="4"/>
  <x:c r="N38" i="4"/>
  <x:c r="M39" i="4"/>
  <x:c r="N39" i="4"/>
  <x:c r="M40" i="4"/>
  <x:c r="N40" i="4"/>
  <x:c r="M41" i="4"/>
  <x:c r="N41" i="4"/>
  <x:c r="M42" i="4"/>
  <x:c r="N42" i="4"/>
  <x:c r="M43" i="4"/>
  <x:c r="N43" i="4"/>
  <x:c r="M44" i="4"/>
  <x:c r="N44" i="4"/>
  <x:c r="M45" i="4"/>
  <x:c r="N45" i="4"/>
  <x:c r="M46" i="4"/>
  <x:c r="N46" i="4"/>
  <x:c r="M47" i="4"/>
  <x:c r="N47" i="4"/>
  <x:c r="M48" i="4"/>
  <x:c r="N48" i="4"/>
  <x:c r="M49" i="4"/>
  <x:c r="N49" i="4"/>
  <x:c r="M50" i="4"/>
  <x:c r="N50" i="4"/>
  <x:c r="M51" i="4"/>
  <x:c r="N51" i="4"/>
  <x:c r="M52" i="4"/>
  <x:c r="N52" i="4"/>
  <x:c r="M53" i="4"/>
  <x:c r="N53" i="4"/>
  <x:c r="M54" i="4"/>
  <x:c r="N54" i="4"/>
  <x:c r="M55" i="4"/>
  <x:c r="N55" i="4"/>
  <x:c r="M56" i="4"/>
  <x:c r="N56" i="4"/>
  <x:c r="M57" i="4"/>
  <x:c r="N57" i="4"/>
  <x:c r="M58" i="4"/>
  <x:c r="N58" i="4"/>
  <x:c r="M59" i="4"/>
  <x:c r="N59" i="4"/>
  <x:c r="M60" i="4"/>
  <x:c r="N60" i="4"/>
  <x:c r="M61" i="4"/>
  <x:c r="N61" i="4"/>
  <x:c r="M62" i="4"/>
  <x:c r="N62" i="4"/>
  <x:c r="M63" i="4"/>
  <x:c r="N63" i="4"/>
  <x:c r="M64" i="4"/>
  <x:c r="N64" i="4"/>
  <x:c r="M65" i="4"/>
  <x:c r="N65" i="4"/>
  <x:c r="M66" i="4"/>
  <x:c r="N66" i="4"/>
  <x:c r="M67" i="4"/>
  <x:c r="N67" i="4"/>
  <x:c r="M68" i="4"/>
  <x:c r="N68" i="4"/>
  <x:c r="M69" i="4"/>
  <x:c r="N69" i="4"/>
  <x:c r="M70" i="4"/>
  <x:c r="N70" i="4"/>
  <x:c r="M71" i="4"/>
  <x:c r="N71" i="4"/>
  <x:c r="M72" i="4"/>
  <x:c r="N72" i="4"/>
  <x:c r="M14" i="5"/>
  <x:c r="N14" i="5"/>
  <x:c r="Q14" i="5"/>
  <x:c r="M15" i="5"/>
  <x:c r="N15" i="5"/>
  <x:c r="Q15" i="5"/>
  <x:c r="M16" i="5"/>
  <x:c r="N16" i="5"/>
  <x:c r="Q16" i="5"/>
  <x:c r="M17" i="5"/>
  <x:c r="N17" i="5"/>
  <x:c r="Q17" i="5"/>
  <x:c r="M18" i="5"/>
  <x:c r="N18" i="5"/>
  <x:c r="Q18" i="5"/>
  <x:c r="M19" i="5"/>
  <x:c r="N19" i="5"/>
  <x:c r="Q19" i="5"/>
  <x:c r="M20" i="5"/>
  <x:c r="N20" i="5"/>
  <x:c r="Q20" i="5"/>
  <x:c r="M21" i="5"/>
  <x:c r="N21" i="5"/>
  <x:c r="M22" i="5"/>
  <x:c r="N22" i="5"/>
  <x:c r="Q22" i="5"/>
  <x:c r="M23" i="5"/>
  <x:c r="N23" i="5"/>
  <x:c r="Q23" i="5"/>
  <x:c r="M24" i="5"/>
  <x:c r="N24" i="5"/>
  <x:c r="Q24" i="5"/>
  <x:c r="M25" i="5"/>
  <x:c r="N25" i="5"/>
  <x:c r="Q25" i="5"/>
  <x:c r="M26" i="5"/>
  <x:c r="N26" i="5"/>
  <x:c r="Q26" i="5"/>
  <x:c r="M27" i="5"/>
  <x:c r="N27" i="5"/>
  <x:c r="Q27" i="5"/>
  <x:c r="M28" i="5"/>
  <x:c r="N28" i="5"/>
  <x:c r="Q28" i="5"/>
  <x:c r="M29" i="5"/>
  <x:c r="N29" i="5"/>
  <x:c r="M30" i="5"/>
  <x:c r="N30" i="5"/>
  <x:c r="M31" i="5"/>
  <x:c r="N31" i="5"/>
  <x:c r="M32" i="5"/>
  <x:c r="N32" i="5"/>
  <x:c r="M33" i="5"/>
  <x:c r="N33" i="5"/>
  <x:c r="M34" i="5"/>
  <x:c r="N34" i="5"/>
  <x:c r="M35" i="5"/>
  <x:c r="N35" i="5"/>
  <x:c r="M36" i="5"/>
  <x:c r="N36" i="5"/>
  <x:c r="M37" i="5"/>
  <x:c r="N37" i="5"/>
  <x:c r="M38" i="5"/>
  <x:c r="N38" i="5"/>
  <x:c r="M39" i="5"/>
  <x:c r="N39" i="5"/>
  <x:c r="M40" i="5"/>
  <x:c r="N40" i="5"/>
  <x:c r="M41" i="5"/>
  <x:c r="N41" i="5"/>
  <x:c r="M42" i="5"/>
  <x:c r="N42" i="5"/>
  <x:c r="M43" i="5"/>
  <x:c r="N43" i="5"/>
  <x:c r="M44" i="5"/>
  <x:c r="N44" i="5"/>
  <x:c r="M45" i="5"/>
  <x:c r="N45" i="5"/>
  <x:c r="M46" i="5"/>
  <x:c r="N46" i="5"/>
  <x:c r="M47" i="5"/>
  <x:c r="N47" i="5"/>
  <x:c r="M48" i="5"/>
  <x:c r="N48" i="5"/>
  <x:c r="M49" i="5"/>
  <x:c r="N49" i="5"/>
  <x:c r="M50" i="5"/>
  <x:c r="N50" i="5"/>
  <x:c r="M51" i="5"/>
  <x:c r="N51" i="5"/>
  <x:c r="M52" i="5"/>
  <x:c r="N52" i="5"/>
  <x:c r="M53" i="5"/>
  <x:c r="N53" i="5"/>
  <x:c r="M54" i="5"/>
  <x:c r="N54" i="5"/>
  <x:c r="M55" i="5"/>
  <x:c r="N55" i="5"/>
  <x:c r="M56" i="5"/>
  <x:c r="N56" i="5"/>
  <x:c r="M57" i="5"/>
  <x:c r="N57" i="5"/>
  <x:c r="M58" i="5"/>
  <x:c r="N58" i="5"/>
  <x:c r="M59" i="5"/>
  <x:c r="N59" i="5"/>
  <x:c r="M60" i="5"/>
  <x:c r="N60" i="5"/>
  <x:c r="M61" i="5"/>
  <x:c r="N61" i="5"/>
  <x:c r="M62" i="5"/>
  <x:c r="N62" i="5"/>
  <x:c r="M63" i="5"/>
  <x:c r="N63" i="5"/>
  <x:c r="M64" i="5"/>
  <x:c r="N64" i="5"/>
  <x:c r="M65" i="5"/>
  <x:c r="N65" i="5"/>
  <x:c r="M66" i="5"/>
  <x:c r="N66" i="5"/>
  <x:c r="M67" i="5"/>
  <x:c r="N67" i="5"/>
  <x:c r="M68" i="5"/>
  <x:c r="N68" i="5"/>
  <x:c r="M69" i="5"/>
  <x:c r="N69" i="5"/>
  <x:c r="M70" i="5"/>
  <x:c r="N70" i="5"/>
  <x:c r="M71" i="5"/>
  <x:c r="N71" i="5"/>
  <x:c r="M72" i="5"/>
  <x:c r="N72" i="5"/>
  <x:c r="M73" i="5"/>
  <x:c r="N73" i="5"/>
  <x:c r="M74" i="5"/>
  <x:c r="N74" i="5"/>
  <x:c r="M14" i="6"/>
  <x:c r="N14" i="6"/>
  <x:c r="Q14" i="6"/>
  <x:c r="M15" i="6"/>
  <x:c r="N15" i="6"/>
  <x:c r="Q15" i="6"/>
  <x:c r="M16" i="6"/>
  <x:c r="N16" i="6"/>
  <x:c r="Q16" i="6"/>
  <x:c r="M17" i="6"/>
  <x:c r="N17" i="6"/>
  <x:c r="Q17" i="6"/>
  <x:c r="M18" i="6"/>
  <x:c r="N18" i="6"/>
  <x:c r="Q18" i="6"/>
  <x:c r="M19" i="6"/>
  <x:c r="N19" i="6"/>
  <x:c r="Q19" i="6"/>
  <x:c r="M20" i="6"/>
  <x:c r="N20" i="6"/>
  <x:c r="Q20" i="6"/>
  <x:c r="M21" i="6"/>
  <x:c r="N21" i="6"/>
  <x:c r="M22" i="6"/>
  <x:c r="N22" i="6"/>
  <x:c r="Q22" i="6"/>
  <x:c r="M23" i="6"/>
  <x:c r="N23" i="6"/>
  <x:c r="Q23" i="6"/>
  <x:c r="M24" i="6"/>
  <x:c r="N24" i="6"/>
  <x:c r="Q24" i="6"/>
  <x:c r="M25" i="6"/>
  <x:c r="N25" i="6"/>
  <x:c r="Q25" i="6"/>
  <x:c r="M26" i="6"/>
  <x:c r="N26" i="6"/>
  <x:c r="Q26" i="6"/>
  <x:c r="M27" i="6"/>
  <x:c r="N27" i="6"/>
  <x:c r="Q27" i="6"/>
  <x:c r="M28" i="6"/>
  <x:c r="N28" i="6"/>
  <x:c r="Q28" i="6"/>
  <x:c r="M29" i="6"/>
  <x:c r="N29" i="6"/>
  <x:c r="M30" i="6"/>
  <x:c r="N30" i="6"/>
  <x:c r="M31" i="6"/>
  <x:c r="N31" i="6"/>
  <x:c r="M32" i="6"/>
  <x:c r="N32" i="6"/>
  <x:c r="M33" i="6"/>
  <x:c r="N33" i="6"/>
  <x:c r="M34" i="6"/>
  <x:c r="N34" i="6"/>
  <x:c r="M35" i="6"/>
  <x:c r="N35" i="6"/>
  <x:c r="M36" i="6"/>
  <x:c r="N36" i="6"/>
  <x:c r="M37" i="6"/>
  <x:c r="N37" i="6"/>
  <x:c r="M38" i="6"/>
  <x:c r="N38" i="6"/>
  <x:c r="M39" i="6"/>
  <x:c r="N39" i="6"/>
  <x:c r="M40" i="6"/>
  <x:c r="N40" i="6"/>
  <x:c r="M41" i="6"/>
  <x:c r="N41" i="6"/>
  <x:c r="M42" i="6"/>
  <x:c r="N42" i="6"/>
  <x:c r="M43" i="6"/>
  <x:c r="N43" i="6"/>
  <x:c r="M44" i="6"/>
  <x:c r="N44" i="6"/>
  <x:c r="M45" i="6"/>
  <x:c r="N45" i="6"/>
  <x:c r="M46" i="6"/>
  <x:c r="N46" i="6"/>
  <x:c r="M47" i="6"/>
  <x:c r="N47" i="6"/>
  <x:c r="M48" i="6"/>
  <x:c r="N48" i="6"/>
  <x:c r="M49" i="6"/>
  <x:c r="N49" i="6"/>
  <x:c r="M50" i="6"/>
  <x:c r="N50" i="6"/>
  <x:c r="M51" i="6"/>
  <x:c r="N51" i="6"/>
  <x:c r="M52" i="6"/>
  <x:c r="N52" i="6"/>
  <x:c r="M53" i="6"/>
  <x:c r="N53" i="6"/>
  <x:c r="M54" i="6"/>
  <x:c r="N54" i="6"/>
  <x:c r="M55" i="6"/>
  <x:c r="N55" i="6"/>
  <x:c r="M56" i="6"/>
  <x:c r="N56" i="6"/>
  <x:c r="M57" i="6"/>
  <x:c r="N57" i="6"/>
  <x:c r="M58" i="6"/>
  <x:c r="N58" i="6"/>
  <x:c r="M59" i="6"/>
  <x:c r="N59" i="6"/>
  <x:c r="M60" i="6"/>
  <x:c r="N60" i="6"/>
  <x:c r="M61" i="6"/>
  <x:c r="N61" i="6"/>
  <x:c r="M62" i="6"/>
  <x:c r="N62" i="6"/>
  <x:c r="M63" i="6"/>
  <x:c r="N63" i="6"/>
  <x:c r="M64" i="6"/>
  <x:c r="N64" i="6"/>
  <x:c r="M65" i="6"/>
  <x:c r="N65" i="6"/>
  <x:c r="M66" i="6"/>
  <x:c r="N66" i="6"/>
  <x:c r="M67" i="6"/>
  <x:c r="N67" i="6"/>
  <x:c r="M68" i="6"/>
  <x:c r="N68" i="6"/>
  <x:c r="M69" i="6"/>
  <x:c r="N69" i="6"/>
  <x:c r="M70" i="6"/>
  <x:c r="N70" i="6"/>
  <x:c r="M71" i="6"/>
  <x:c r="N71" i="6"/>
  <x:c r="M72" i="6"/>
  <x:c r="N72" i="6"/>
  <x:c r="M73" i="6"/>
  <x:c r="N73" i="6"/>
  <x:c r="M74" i="6"/>
  <x:c r="N74" i="6"/>
  <x:c r="M14" i="7"/>
  <x:c r="N14" i="7"/>
  <x:c r="Q14" i="7"/>
  <x:c r="M15" i="7"/>
  <x:c r="N15" i="7"/>
  <x:c r="Q15" i="7"/>
  <x:c r="M16" i="7"/>
  <x:c r="N16" i="7"/>
  <x:c r="Q16" i="7"/>
  <x:c r="M17" i="7"/>
  <x:c r="N17" i="7"/>
  <x:c r="Q17" i="7"/>
  <x:c r="M18" i="7"/>
  <x:c r="N18" i="7"/>
  <x:c r="Q18" i="7"/>
  <x:c r="M19" i="7"/>
  <x:c r="N19" i="7"/>
  <x:c r="Q19" i="7"/>
  <x:c r="M20" i="7"/>
  <x:c r="N20" i="7"/>
  <x:c r="Q20" i="7"/>
  <x:c r="M21" i="7"/>
  <x:c r="N21" i="7"/>
  <x:c r="M22" i="7"/>
  <x:c r="N22" i="7"/>
  <x:c r="Q22" i="7"/>
  <x:c r="M23" i="7"/>
  <x:c r="N23" i="7"/>
  <x:c r="Q23" i="7"/>
  <x:c r="M24" i="7"/>
  <x:c r="N24" i="7"/>
  <x:c r="Q24" i="7"/>
  <x:c r="M25" i="7"/>
  <x:c r="N25" i="7"/>
  <x:c r="Q25" i="7"/>
  <x:c r="M26" i="7"/>
  <x:c r="N26" i="7"/>
  <x:c r="Q26" i="7"/>
  <x:c r="M27" i="7"/>
  <x:c r="N27" i="7"/>
  <x:c r="Q27" i="7"/>
  <x:c r="M28" i="7"/>
  <x:c r="N28" i="7"/>
  <x:c r="Q28" i="7"/>
  <x:c r="M29" i="7"/>
  <x:c r="N29" i="7"/>
  <x:c r="M30" i="7"/>
  <x:c r="N30" i="7"/>
  <x:c r="M31" i="7"/>
  <x:c r="N31" i="7"/>
  <x:c r="M32" i="7"/>
  <x:c r="N32" i="7"/>
  <x:c r="M33" i="7"/>
  <x:c r="N33" i="7"/>
  <x:c r="M34" i="7"/>
  <x:c r="N34" i="7"/>
  <x:c r="M35" i="7"/>
  <x:c r="N35" i="7"/>
  <x:c r="M36" i="7"/>
  <x:c r="N36" i="7"/>
  <x:c r="M37" i="7"/>
  <x:c r="N37" i="7"/>
  <x:c r="M38" i="7"/>
  <x:c r="N38" i="7"/>
  <x:c r="M39" i="7"/>
  <x:c r="N39" i="7"/>
  <x:c r="M40" i="7"/>
  <x:c r="N40" i="7"/>
  <x:c r="M41" i="7"/>
  <x:c r="N41" i="7"/>
  <x:c r="M42" i="7"/>
  <x:c r="N42" i="7"/>
  <x:c r="M43" i="7"/>
  <x:c r="N43" i="7"/>
  <x:c r="M44" i="7"/>
  <x:c r="N44" i="7"/>
  <x:c r="M45" i="7"/>
  <x:c r="N45" i="7"/>
  <x:c r="M46" i="7"/>
  <x:c r="N46" i="7"/>
  <x:c r="M47" i="7"/>
  <x:c r="N47" i="7"/>
  <x:c r="M48" i="7"/>
  <x:c r="N48" i="7"/>
  <x:c r="M49" i="7"/>
  <x:c r="N49" i="7"/>
  <x:c r="M50" i="7"/>
  <x:c r="N50" i="7"/>
  <x:c r="M51" i="7"/>
  <x:c r="N51" i="7"/>
  <x:c r="M52" i="7"/>
  <x:c r="N52" i="7"/>
  <x:c r="M53" i="7"/>
  <x:c r="N53" i="7"/>
  <x:c r="M54" i="7"/>
  <x:c r="N54" i="7"/>
  <x:c r="M55" i="7"/>
  <x:c r="N55" i="7"/>
  <x:c r="M56" i="7"/>
  <x:c r="N56" i="7"/>
  <x:c r="M57" i="7"/>
  <x:c r="N57" i="7"/>
  <x:c r="M58" i="7"/>
  <x:c r="N58" i="7"/>
  <x:c r="M59" i="7"/>
  <x:c r="N59" i="7"/>
  <x:c r="M60" i="7"/>
  <x:c r="N60" i="7"/>
  <x:c r="M61" i="7"/>
  <x:c r="N61" i="7"/>
  <x:c r="M62" i="7"/>
  <x:c r="N62" i="7"/>
  <x:c r="M63" i="7"/>
  <x:c r="N63" i="7"/>
  <x:c r="M64" i="7"/>
  <x:c r="N64" i="7"/>
  <x:c r="M65" i="7"/>
  <x:c r="N65" i="7"/>
  <x:c r="M66" i="7"/>
  <x:c r="N66" i="7"/>
  <x:c r="M67" i="7"/>
  <x:c r="N67" i="7"/>
  <x:c r="M68" i="7"/>
  <x:c r="N68" i="7"/>
  <x:c r="M69" i="7"/>
  <x:c r="N69" i="7"/>
  <x:c r="M70" i="7"/>
  <x:c r="N70" i="7"/>
  <x:c r="M71" i="7"/>
  <x:c r="N71" i="7"/>
  <x:c r="M72" i="7"/>
  <x:c r="N72" i="7"/>
  <x:c r="M73" i="7"/>
  <x:c r="N73" i="7"/>
  <x:c r="M74" i="7"/>
  <x:c r="N74" i="7"/>
  <x:c r="L12" i="8"/>
  <x:c r="L13" i="8"/>
  <x:c r="L14" i="8"/>
  <x:c r="L15" i="8"/>
  <x:c r="L16" i="8"/>
  <x:c r="L17" i="8"/>
  <x:c r="L18" i="8"/>
  <x:c r="L20" i="8"/>
  <x:c r="L21" i="8"/>
  <x:c r="L22" i="8"/>
  <x:c r="L23" i="8"/>
  <x:c r="L24" i="8"/>
  <x:c r="L25" i="8"/>
  <x:c r="L26" i="8"/>
  <x:c r="L28" i="8"/>
  <x:c r="L12" i="9"/>
  <x:c r="L13" i="9"/>
  <x:c r="L14" i="9"/>
  <x:c r="L15" i="9"/>
  <x:c r="L16" i="9"/>
  <x:c r="L17" i="9"/>
  <x:c r="L18" i="9"/>
  <x:c r="L20" i="9"/>
  <x:c r="L21" i="9"/>
  <x:c r="L22" i="9"/>
  <x:c r="L23" i="9"/>
  <x:c r="L24" i="9"/>
  <x:c r="L25" i="9"/>
  <x:c r="L26" i="9"/>
  <x:c r="L28" i="9"/>
  <x:c r="L12" i="10"/>
  <x:c r="L13" i="10"/>
  <x:c r="L14" i="10"/>
  <x:c r="L15" i="10"/>
  <x:c r="L16" i="10"/>
  <x:c r="L17" i="10"/>
  <x:c r="L18" i="10"/>
  <x:c r="L20" i="10"/>
  <x:c r="L21" i="10"/>
  <x:c r="L22" i="10"/>
  <x:c r="L23" i="10"/>
  <x:c r="L24" i="10"/>
  <x:c r="L25" i="10"/>
  <x:c r="L26" i="10"/>
  <x:c r="L28" i="10"/>
  <x:c r="B6" i="11"/>
  <x:c r="C6" i="11"/>
  <x:c r="D6" i="11"/>
  <x:c r="E6" i="11"/>
  <x:c r="F6" i="11"/>
  <x:c r="G6" i="11"/>
  <x:c r="B7" i="11"/>
  <x:c r="C7" i="11"/>
  <x:c r="D7" i="11"/>
  <x:c r="E7" i="11"/>
  <x:c r="F7" i="11"/>
  <x:c r="G7" i="11"/>
  <x:c r="B8" i="11"/>
  <x:c r="C8" i="11"/>
  <x:c r="D8" i="11"/>
  <x:c r="E8" i="11"/>
  <x:c r="F8" i="11"/>
  <x:c r="G8" i="11"/>
  <x:c r="B9" i="11"/>
  <x:c r="C9" i="11"/>
  <x:c r="D9" i="11"/>
  <x:c r="E9" i="11"/>
  <x:c r="F9" i="11"/>
  <x:c r="G9" i="11"/>
  <x:c r="B10" i="11"/>
  <x:c r="C10" i="11"/>
  <x:c r="D10" i="11"/>
  <x:c r="E10" i="11"/>
  <x:c r="F10" i="11"/>
  <x:c r="G10" i="11"/>
  <x:c r="B11" i="11"/>
  <x:c r="C11" i="11"/>
  <x:c r="D11" i="11"/>
  <x:c r="E11" i="11"/>
  <x:c r="F11" i="11"/>
  <x:c r="G11" i="11"/>
  <x:c r="B12" i="11"/>
  <x:c r="C12" i="11"/>
  <x:c r="D12" i="11"/>
  <x:c r="E12" i="11"/>
  <x:c r="F12" i="11"/>
  <x:c r="G12" i="11"/>
  <x:c r="B13" i="11"/>
  <x:c r="C13" i="11"/>
  <x:c r="D13" i="11"/>
  <x:c r="E13" i="11"/>
  <x:c r="F13" i="11"/>
  <x:c r="G13" i="11"/>
  <x:c r="B14" i="11"/>
  <x:c r="C14" i="11"/>
  <x:c r="D14" i="11"/>
  <x:c r="E14" i="11"/>
  <x:c r="F14" i="11"/>
  <x:c r="G14" i="11"/>
  <x:c r="B17" i="11"/>
  <x:c r="C17" i="11"/>
  <x:c r="D17" i="11"/>
  <x:c r="E17" i="11"/>
  <x:c r="F17" i="11"/>
  <x:c r="G17" i="11"/>
  <x:c r="B18" i="11"/>
  <x:c r="C18" i="11"/>
  <x:c r="D18" i="11"/>
  <x:c r="E18" i="11"/>
  <x:c r="F18" i="11"/>
  <x:c r="G18" i="11"/>
  <x:c r="B19" i="11"/>
  <x:c r="C19" i="11"/>
  <x:c r="D19" i="11"/>
  <x:c r="E19" i="11"/>
  <x:c r="F19" i="11"/>
  <x:c r="G19" i="11"/>
  <x:c r="B20" i="11"/>
  <x:c r="C20" i="11"/>
  <x:c r="D20" i="11"/>
  <x:c r="E20" i="11"/>
  <x:c r="F20" i="11"/>
  <x:c r="G20" i="11"/>
  <x:c r="B21" i="11"/>
  <x:c r="C21" i="11"/>
  <x:c r="D21" i="11"/>
  <x:c r="E21" i="11"/>
  <x:c r="F21" i="11"/>
  <x:c r="G21" i="11"/>
  <x:c r="B22" i="11"/>
  <x:c r="C22" i="11"/>
  <x:c r="D22" i="11"/>
  <x:c r="E22" i="11"/>
  <x:c r="F22" i="11"/>
  <x:c r="G22" i="11"/>
  <x:c r="B23" i="11"/>
  <x:c r="C23" i="11"/>
  <x:c r="D23" i="11"/>
  <x:c r="E23" i="11"/>
  <x:c r="F23" i="11"/>
  <x:c r="G23" i="11"/>
  <x:c r="B24" i="11"/>
  <x:c r="C24" i="11"/>
  <x:c r="D24" i="11"/>
  <x:c r="E24" i="11"/>
  <x:c r="F24" i="11"/>
  <x:c r="G24" i="11"/>
  <x:c r="B25" i="11"/>
  <x:c r="C25" i="11"/>
  <x:c r="D25" i="11"/>
  <x:c r="E25" i="11"/>
  <x:c r="F25" i="11"/>
  <x:c r="G25" i="11"/>
  <x:c r="B28" i="11"/>
  <x:c r="C28" i="11"/>
  <x:c r="D28" i="11"/>
  <x:c r="E28" i="11"/>
  <x:c r="F28" i="11"/>
  <x:c r="G28" i="11"/>
  <x:c r="B29" i="11"/>
  <x:c r="C29" i="11"/>
  <x:c r="D29" i="11"/>
  <x:c r="E29" i="11"/>
  <x:c r="F29" i="11"/>
  <x:c r="G29" i="11"/>
  <x:c r="B30" i="11"/>
  <x:c r="C30" i="11"/>
  <x:c r="D30" i="11"/>
  <x:c r="E30" i="11"/>
  <x:c r="F30" i="11"/>
  <x:c r="G30" i="11"/>
  <x:c r="B31" i="11"/>
  <x:c r="C31" i="11"/>
  <x:c r="D31" i="11"/>
  <x:c r="E31" i="11"/>
  <x:c r="F31" i="11"/>
  <x:c r="G31" i="11"/>
  <x:c r="B32" i="11"/>
  <x:c r="C32" i="11"/>
  <x:c r="D32" i="11"/>
  <x:c r="E32" i="11"/>
  <x:c r="F32" i="11"/>
  <x:c r="G32" i="11"/>
  <x:c r="B33" i="11"/>
  <x:c r="C33" i="11"/>
  <x:c r="D33" i="11"/>
  <x:c r="E33" i="11"/>
  <x:c r="F33" i="11"/>
  <x:c r="G33" i="11"/>
  <x:c r="B34" i="11"/>
  <x:c r="C34" i="11"/>
  <x:c r="D34" i="11"/>
  <x:c r="E34" i="11"/>
  <x:c r="F34" i="11"/>
  <x:c r="G34" i="11"/>
  <x:c r="B35" i="11"/>
  <x:c r="C35" i="11"/>
  <x:c r="D35" i="11"/>
  <x:c r="E35" i="11"/>
  <x:c r="F35" i="11"/>
  <x:c r="G35" i="11"/>
  <x:c r="B36" i="11"/>
  <x:c r="C36" i="11"/>
  <x:c r="D36" i="11"/>
  <x:c r="E36" i="11"/>
  <x:c r="F36" i="11"/>
  <x:c r="G36" i="11"/>
  <x:c r="B37" i="11"/>
  <x:c r="C37" i="11"/>
  <x:c r="D37" i="11"/>
  <x:c r="E37" i="11"/>
  <x:c r="F37" i="11"/>
  <x:c r="G37" i="11"/>
</x:calcChain>
</file>

<file path=xl/comments1.xml><?xml version="1.0" encoding="utf-8"?>
<x:comments xmlns:x="http://schemas.openxmlformats.org/spreadsheetml/2006/main">
  <x:authors>
    <x:author>root</x:author>
  </x:authors>
  <x:commentList>
    <x:comment ref="B4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工具填：测试当天</x:t>
        </x:r>
      </x:text>
    </x:comment>
    <x:comment ref="E4" authorId="0">
      <x:text>
        <x:r>
          <x:rPr>
            <x:vertAlign val="baseline"/>
            <x:sz val="9"/>
            <x:color rgb="FF000000"/>
            <x:rFont val="Tahoma"/>
            <x:family val="2"/>
          </x:rPr>
          <x:t>工具里填的</x:t>
        </x:r>
      </x:text>
    </x:comment>
    <x:comment ref="B5" authorId="0">
      <x:text>
        <x:r>
          <x:rPr>
            <x:vertAlign val="baseline"/>
            <x:sz val="9"/>
            <x:color rgb="FF000000"/>
            <x:rFont val="Tahoma"/>
            <x:family val="2"/>
          </x:rPr>
          <x:t>工具里填的（手填）</x:t>
        </x:r>
      </x:text>
    </x:comment>
    <x:comment ref="E5" authorId="0">
      <x:text>
        <x:r>
          <x:rPr>
            <x:vertAlign val="baseline"/>
            <x:sz val="9"/>
            <x:color rgb="FF000000"/>
            <x:rFont val="Tahoma"/>
            <x:family val="2"/>
          </x:rPr>
          <x:t>这一组按 20 ℃ 做；工具在开始前问你，冷水机上看到多少填多少——不是测的</x:t>
        </x:r>
      </x:text>
    </x:comment>
    <x:comment ref="B6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工具填：下发的夹套目标</x:t>
        </x:r>
      </x:text>
    </x:comment>
    <x:comment ref="B7" authorId="0">
      <x:text>
        <x:r>
          <x:rPr>
            <x:vertAlign val="baseline"/>
            <x:sz val="9"/>
            <x:color rgb="FF000000"/>
            <x:rFont val="Tahoma"/>
            <x:family val="2"/>
          </x:rPr>
          <x:t>这张表按「尽快」做：目标一步写给温控器</x:t>
        </x:r>
      </x:text>
    </x:comment>
    <x:comment ref="E7" authorId="0">
      <x:text>
        <x:r>
          <x:rPr>
            <x:vertAlign val="baseline"/>
            <x:sz val="9"/>
            <x:color rgb="FF000000"/>
            <x:rFont val="Tahoma"/>
            <x:family val="2"/>
          </x:rPr>
          <x:t>工具从温控器读的（参数窗「最大输出占空比」）</x:t>
        </x:r>
      </x:text>
    </x:comment>
    <x:comment ref="E8" authorId="0">
      <x:text>
        <x:r>
          <x:rPr>
            <x:vertAlign val="baseline"/>
            <x:sz val="9"/>
            <x:color rgb="FF000000"/>
            <x:rFont val="Tahoma"/>
            <x:family val="2"/>
          </x:rPr>
          <x:t>打到哪一号</x:t>
        </x:r>
      </x:text>
    </x:comment>
    <x:comment ref="B9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工具填：完成 / 提前结束（原因）/ 中止（原因）</x:t>
        </x:r>
      </x:text>
    </x:comment>
    <x:comment ref="Q13" authorId="0">
      <x:text>
        <x:r>
          <x:rPr>
            <x:vertAlign val="baseline"/>
            <x:sz val="9"/>
            <x:color rgb="FF000000"/>
            <x:rFont val="Tahoma"/>
            <x:family val="2"/>
          </x:rPr>
          <x:t>到达 = 夹套首次进到目标 ±0.5 ℃；一直没到显示「未到」</x:t>
        </x:r>
      </x:text>
    </x:comment>
    <x:comment ref="Q15" authorId="0">
      <x:text>
        <x:r>
          <x:rPr>
            <x:vertAlign val="baseline"/>
            <x:sz val="9"/>
            <x:color rgb="FF000000"/>
            <x:rFont val="Tahoma"/>
            <x:family val="2"/>
          </x:rPr>
          <x:t>按 t=0 那行和往下第 10 行两点算</x:t>
        </x:r>
      </x:text>
    </x:comment>
    <x:comment ref="Q21" authorId="0">
      <x:text>
        <x:r>
          <x:rPr>
            <x:vertAlign val="baseline"/>
            <x:sz val="9"/>
            <x:color rgb="FF000000"/>
            <x:rFont val="Tahoma"/>
            <x:family val="2"/>
          </x:rPr>
          <x:t>到达 = 夹套首次进到目标 ±0.5 ℃；一直没到显示「未到」</x:t>
        </x:r>
      </x:text>
    </x:comment>
    <x:comment ref="Q23" authorId="0">
      <x:text>
        <x:r>
          <x:rPr>
            <x:vertAlign val="baseline"/>
            <x:sz val="9"/>
            <x:color rgb="FF000000"/>
            <x:rFont val="Tahoma"/>
            <x:family val="2"/>
          </x:rPr>
          <x:t>按 t=0 那行和往下第 10 行两点算</x:t>
        </x:r>
      </x:text>
    </x:comment>
  </x:commentList>
</x:comments>
</file>

<file path=xl/comments2.xml><?xml version="1.0" encoding="utf-8"?>
<x:comments xmlns:x="http://schemas.openxmlformats.org/spreadsheetml/2006/main">
  <x:authors>
    <x:author>root</x:author>
  </x:authors>
  <x:commentList>
    <x:comment ref="B4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工具填：测试当天</x:t>
        </x:r>
      </x:text>
    </x:comment>
    <x:comment ref="E4" authorId="0">
      <x:text>
        <x:r>
          <x:rPr>
            <x:vertAlign val="baseline"/>
            <x:sz val="9"/>
            <x:color rgb="FF000000"/>
            <x:rFont val="Tahoma"/>
            <x:family val="2"/>
          </x:rPr>
          <x:t>工具里填的</x:t>
        </x:r>
      </x:text>
    </x:comment>
    <x:comment ref="B5" authorId="0">
      <x:text>
        <x:r>
          <x:rPr>
            <x:vertAlign val="baseline"/>
            <x:sz val="9"/>
            <x:color rgb="FF000000"/>
            <x:rFont val="Tahoma"/>
            <x:family val="2"/>
          </x:rPr>
          <x:t>工具里填的（手填）</x:t>
        </x:r>
      </x:text>
    </x:comment>
    <x:comment ref="E5" authorId="0">
      <x:text>
        <x:r>
          <x:rPr>
            <x:vertAlign val="baseline"/>
            <x:sz val="9"/>
            <x:color rgb="FF000000"/>
            <x:rFont val="Tahoma"/>
            <x:family val="2"/>
          </x:rPr>
          <x:t>这一组按 15 ℃ 做；工具在开始前问你，冷水机上看到多少填多少——不是测的</x:t>
        </x:r>
      </x:text>
    </x:comment>
    <x:comment ref="B6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工具填：下发的夹套目标</x:t>
        </x:r>
      </x:text>
    </x:comment>
    <x:comment ref="B7" authorId="0">
      <x:text>
        <x:r>
          <x:rPr>
            <x:vertAlign val="baseline"/>
            <x:sz val="9"/>
            <x:color rgb="FF000000"/>
            <x:rFont val="Tahoma"/>
            <x:family val="2"/>
          </x:rPr>
          <x:t>这张表按「尽快」做：目标一步写给温控器</x:t>
        </x:r>
      </x:text>
    </x:comment>
    <x:comment ref="E7" authorId="0">
      <x:text>
        <x:r>
          <x:rPr>
            <x:vertAlign val="baseline"/>
            <x:sz val="9"/>
            <x:color rgb="FF000000"/>
            <x:rFont val="Tahoma"/>
            <x:family val="2"/>
          </x:rPr>
          <x:t>工具从温控器读的（参数窗「最大输出占空比」）</x:t>
        </x:r>
      </x:text>
    </x:comment>
    <x:comment ref="E8" authorId="0">
      <x:text>
        <x:r>
          <x:rPr>
            <x:vertAlign val="baseline"/>
            <x:sz val="9"/>
            <x:color rgb="FF000000"/>
            <x:rFont val="Tahoma"/>
            <x:family val="2"/>
          </x:rPr>
          <x:t>打到哪一号</x:t>
        </x:r>
      </x:text>
    </x:comment>
    <x:comment ref="B9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工具填：完成 / 提前结束（原因）/ 中止（原因）</x:t>
        </x:r>
      </x:text>
    </x:comment>
    <x:comment ref="Q13" authorId="0">
      <x:text>
        <x:r>
          <x:rPr>
            <x:vertAlign val="baseline"/>
            <x:sz val="9"/>
            <x:color rgb="FF000000"/>
            <x:rFont val="Tahoma"/>
            <x:family val="2"/>
          </x:rPr>
          <x:t>到达 = 夹套首次进到目标 ±0.5 ℃；一直没到显示「未到」</x:t>
        </x:r>
      </x:text>
    </x:comment>
    <x:comment ref="Q15" authorId="0">
      <x:text>
        <x:r>
          <x:rPr>
            <x:vertAlign val="baseline"/>
            <x:sz val="9"/>
            <x:color rgb="FF000000"/>
            <x:rFont val="Tahoma"/>
            <x:family val="2"/>
          </x:rPr>
          <x:t>按 t=0 那行和往下第 10 行两点算</x:t>
        </x:r>
      </x:text>
    </x:comment>
    <x:comment ref="Q21" authorId="0">
      <x:text>
        <x:r>
          <x:rPr>
            <x:vertAlign val="baseline"/>
            <x:sz val="9"/>
            <x:color rgb="FF000000"/>
            <x:rFont val="Tahoma"/>
            <x:family val="2"/>
          </x:rPr>
          <x:t>到达 = 夹套首次进到目标 ±0.5 ℃；一直没到显示「未到」</x:t>
        </x:r>
      </x:text>
    </x:comment>
    <x:comment ref="Q23" authorId="0">
      <x:text>
        <x:r>
          <x:rPr>
            <x:vertAlign val="baseline"/>
            <x:sz val="9"/>
            <x:color rgb="FF000000"/>
            <x:rFont val="Tahoma"/>
            <x:family val="2"/>
          </x:rPr>
          <x:t>按 t=0 那行和往下第 10 行两点算</x:t>
        </x:r>
      </x:text>
    </x:comment>
  </x:commentList>
</x:comments>
</file>

<file path=xl/comments3.xml><?xml version="1.0" encoding="utf-8"?>
<x:comments xmlns:x="http://schemas.openxmlformats.org/spreadsheetml/2006/main">
  <x:authors>
    <x:author>root</x:author>
  </x:authors>
  <x:commentList>
    <x:comment ref="B4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工具填：测试当天</x:t>
        </x:r>
      </x:text>
    </x:comment>
    <x:comment ref="E4" authorId="0">
      <x:text>
        <x:r>
          <x:rPr>
            <x:vertAlign val="baseline"/>
            <x:sz val="9"/>
            <x:color rgb="FF000000"/>
            <x:rFont val="Tahoma"/>
            <x:family val="2"/>
          </x:rPr>
          <x:t>工具里填的</x:t>
        </x:r>
      </x:text>
    </x:comment>
    <x:comment ref="B5" authorId="0">
      <x:text>
        <x:r>
          <x:rPr>
            <x:vertAlign val="baseline"/>
            <x:sz val="9"/>
            <x:color rgb="FF000000"/>
            <x:rFont val="Tahoma"/>
            <x:family val="2"/>
          </x:rPr>
          <x:t>工具里填的（手填）</x:t>
        </x:r>
      </x:text>
    </x:comment>
    <x:comment ref="E5" authorId="0">
      <x:text>
        <x:r>
          <x:rPr>
            <x:vertAlign val="baseline"/>
            <x:sz val="9"/>
            <x:color rgb="FF000000"/>
            <x:rFont val="Tahoma"/>
            <x:family val="2"/>
          </x:rPr>
          <x:t>这一组按 7 ℃ 做；工具在开始前问你，冷水机上看到多少填多少——不是测的</x:t>
        </x:r>
      </x:text>
    </x:comment>
    <x:comment ref="B6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工具填：下发的夹套目标</x:t>
        </x:r>
      </x:text>
    </x:comment>
    <x:comment ref="B7" authorId="0">
      <x:text>
        <x:r>
          <x:rPr>
            <x:vertAlign val="baseline"/>
            <x:sz val="9"/>
            <x:color rgb="FF000000"/>
            <x:rFont val="Tahoma"/>
            <x:family val="2"/>
          </x:rPr>
          <x:t>这张表按「尽快」做：目标一步写给温控器</x:t>
        </x:r>
      </x:text>
    </x:comment>
    <x:comment ref="E7" authorId="0">
      <x:text>
        <x:r>
          <x:rPr>
            <x:vertAlign val="baseline"/>
            <x:sz val="9"/>
            <x:color rgb="FF000000"/>
            <x:rFont val="Tahoma"/>
            <x:family val="2"/>
          </x:rPr>
          <x:t>工具从温控器读的（参数窗「最大输出占空比」）</x:t>
        </x:r>
      </x:text>
    </x:comment>
    <x:comment ref="E8" authorId="0">
      <x:text>
        <x:r>
          <x:rPr>
            <x:vertAlign val="baseline"/>
            <x:sz val="9"/>
            <x:color rgb="FF000000"/>
            <x:rFont val="Tahoma"/>
            <x:family val="2"/>
          </x:rPr>
          <x:t>打到哪一号</x:t>
        </x:r>
      </x:text>
    </x:comment>
    <x:comment ref="B9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工具填：完成 / 提前结束（原因）/ 中止（原因）</x:t>
        </x:r>
      </x:text>
    </x:comment>
    <x:comment ref="Q13" authorId="0">
      <x:text>
        <x:r>
          <x:rPr>
            <x:vertAlign val="baseline"/>
            <x:sz val="9"/>
            <x:color rgb="FF000000"/>
            <x:rFont val="Tahoma"/>
            <x:family val="2"/>
          </x:rPr>
          <x:t>到达 = 夹套首次进到目标 ±0.5 ℃；一直没到显示「未到」</x:t>
        </x:r>
      </x:text>
    </x:comment>
    <x:comment ref="Q15" authorId="0">
      <x:text>
        <x:r>
          <x:rPr>
            <x:vertAlign val="baseline"/>
            <x:sz val="9"/>
            <x:color rgb="FF000000"/>
            <x:rFont val="Tahoma"/>
            <x:family val="2"/>
          </x:rPr>
          <x:t>按 t=0 那行和往下第 10 行两点算</x:t>
        </x:r>
      </x:text>
    </x:comment>
    <x:comment ref="Q21" authorId="0">
      <x:text>
        <x:r>
          <x:rPr>
            <x:vertAlign val="baseline"/>
            <x:sz val="9"/>
            <x:color rgb="FF000000"/>
            <x:rFont val="Tahoma"/>
            <x:family val="2"/>
          </x:rPr>
          <x:t>到达 = 夹套首次进到目标 ±0.5 ℃；一直没到显示「未到」</x:t>
        </x:r>
      </x:text>
    </x:comment>
    <x:comment ref="Q23" authorId="0">
      <x:text>
        <x:r>
          <x:rPr>
            <x:vertAlign val="baseline"/>
            <x:sz val="9"/>
            <x:color rgb="FF000000"/>
            <x:rFont val="Tahoma"/>
            <x:family val="2"/>
          </x:rPr>
          <x:t>按 t=0 那行和往下第 10 行两点算</x:t>
        </x:r>
      </x:text>
    </x:comment>
  </x:commentList>
</x:comments>
</file>

<file path=xl/comments4.xml><?xml version="1.0" encoding="utf-8"?>
<x:comments xmlns:x="http://schemas.openxmlformats.org/spreadsheetml/2006/main">
  <x:authors>
    <x:author>root</x:author>
  </x:authors>
  <x:commentList>
    <x:comment ref="B4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工具填：测试当天</x:t>
        </x:r>
      </x:text>
    </x:comment>
    <x:comment ref="E4" authorId="0">
      <x:text>
        <x:r>
          <x:rPr>
            <x:vertAlign val="baseline"/>
            <x:sz val="9"/>
            <x:color rgb="FF000000"/>
            <x:rFont val="Tahoma"/>
            <x:family val="2"/>
          </x:rPr>
          <x:t>工具里填的</x:t>
        </x:r>
      </x:text>
    </x:comment>
    <x:comment ref="B5" authorId="0">
      <x:text>
        <x:r>
          <x:rPr>
            <x:vertAlign val="baseline"/>
            <x:sz val="9"/>
            <x:color rgb="FF000000"/>
            <x:rFont val="Tahoma"/>
            <x:family val="2"/>
          </x:rPr>
          <x:t>工具里填的（手填）</x:t>
        </x:r>
      </x:text>
    </x:comment>
    <x:comment ref="E5" authorId="0">
      <x:text>
        <x:r>
          <x:rPr>
            <x:vertAlign val="baseline"/>
            <x:sz val="9"/>
            <x:color rgb="FF000000"/>
            <x:rFont val="Tahoma"/>
            <x:family val="2"/>
          </x:rPr>
          <x:t>这一组按 20 ℃ 做；工具在开始前问你，冷水机上看到多少填多少——不是测的</x:t>
        </x:r>
      </x:text>
    </x:comment>
    <x:comment ref="B6" authorId="0">
      <x:text>
        <x:r>
          <x:rPr>
            <x:vertAlign val="baseline"/>
            <x:sz val="9"/>
            <x:color rgb="FF000000"/>
            <x:rFont val="Tahoma"/>
            <x:family val="2"/>
          </x:rPr>
          <x:t>工具从台面配置读的</x:t>
        </x:r>
      </x:text>
    </x:comment>
    <x:comment ref="E6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工具填：下发的夹套目标</x:t>
        </x:r>
      </x:text>
    </x:comment>
    <x:comment ref="B8" authorId="0">
      <x:text>
        <x:r>
          <x:rPr>
            <x:vertAlign val="baseline"/>
            <x:sz val="9"/>
            <x:color rgb="FF000000"/>
            <x:rFont val="Tahoma"/>
            <x:family val="2"/>
          </x:rPr>
          <x:t>工具从温控器读的（OVERTEMPUP），温控器自己那道最后防线</x:t>
        </x:r>
      </x:text>
    </x:comment>
    <x:comment ref="B9" authorId="0">
      <x:text>
        <x:r>
          <x:rPr>
            <x:vertAlign val="baseline"/>
            <x:sz val="9"/>
            <x:color rgb="FF000000"/>
            <x:rFont val="Tahoma"/>
            <x:family val="2"/>
          </x:rPr>
          <x:t>工具从热源状态量的跳变数出来的；一直没切显示空</x:t>
        </x:r>
      </x:text>
    </x:comment>
    <x:comment ref="B10" authorId="0">
      <x:text>
        <x:r>
          <x:rPr>
            <x:vertAlign val="baseline"/>
            <x:sz val="9"/>
            <x:color rgb="FF000000"/>
            <x:rFont val="Tahoma"/>
            <x:family val="2"/>
          </x:rPr>
          <x:t>打到哪一号</x:t>
        </x:r>
      </x:text>
    </x:comment>
    <x:comment ref="E10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工具填：完成 / 提前结束（原因）/ 中止（原因）</x:t>
        </x:r>
      </x:text>
    </x:comment>
    <x:comment ref="Q15" authorId="0">
      <x:text>
        <x:r>
          <x:rPr>
            <x:vertAlign val="baseline"/>
            <x:sz val="9"/>
            <x:color rgb="FF000000"/>
            <x:rFont val="Tahoma"/>
            <x:family val="2"/>
          </x:rPr>
          <x:t>到达 = 夹套首次进到目标 ±0.5 ℃；一直没到显示「未到」</x:t>
        </x:r>
      </x:text>
    </x:comment>
    <x:comment ref="Q16" authorId="0">
      <x:text>
        <x:r>
          <x:rPr>
            <x:vertAlign val="baseline"/>
            <x:sz val="9"/>
            <x:color rgb="FF000000"/>
            <x:rFont val="Tahoma"/>
            <x:family val="2"/>
          </x:rPr>
          <x:t>负的按 0 算：没到目标就没有过冲</x:t>
        </x:r>
      </x:text>
    </x:comment>
    <x:comment ref="Q17" authorId="0">
      <x:text>
        <x:r>
          <x:rPr>
            <x:vertAlign val="baseline"/>
            <x:sz val="9"/>
            <x:color rgb="FF000000"/>
            <x:rFont val="Tahoma"/>
            <x:family val="2"/>
          </x:rPr>
          <x:t>按 t=0 那行和往下第 10 行两点算</x:t>
        </x:r>
      </x:text>
    </x:comment>
    <x:comment ref="Q23" authorId="0">
      <x:text>
        <x:r>
          <x:rPr>
            <x:vertAlign val="baseline"/>
            <x:sz val="9"/>
            <x:color rgb="FF000000"/>
            <x:rFont val="Tahoma"/>
            <x:family val="2"/>
          </x:rPr>
          <x:t>到达 = 夹套首次进到目标 ±0.5 ℃；一直没到显示「未到」</x:t>
        </x:r>
      </x:text>
    </x:comment>
    <x:comment ref="Q24" authorId="0">
      <x:text>
        <x:r>
          <x:rPr>
            <x:vertAlign val="baseline"/>
            <x:sz val="9"/>
            <x:color rgb="FF000000"/>
            <x:rFont val="Tahoma"/>
            <x:family val="2"/>
          </x:rPr>
          <x:t>负的按 0 算：没到目标就没有过冲</x:t>
        </x:r>
      </x:text>
    </x:comment>
    <x:comment ref="Q25" authorId="0">
      <x:text>
        <x:r>
          <x:rPr>
            <x:vertAlign val="baseline"/>
            <x:sz val="9"/>
            <x:color rgb="FF000000"/>
            <x:rFont val="Tahoma"/>
            <x:family val="2"/>
          </x:rPr>
          <x:t>按 t=0 那行和往下第 10 行两点算</x:t>
        </x:r>
      </x:text>
    </x:comment>
  </x:commentList>
</x:comments>
</file>

<file path=xl/comments5.xml><?xml version="1.0" encoding="utf-8"?>
<x:comments xmlns:x="http://schemas.openxmlformats.org/spreadsheetml/2006/main">
  <x:authors>
    <x:author>root</x:author>
  </x:authors>
  <x:commentList>
    <x:comment ref="B4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工具填：测试当天</x:t>
        </x:r>
      </x:text>
    </x:comment>
    <x:comment ref="E4" authorId="0">
      <x:text>
        <x:r>
          <x:rPr>
            <x:vertAlign val="baseline"/>
            <x:sz val="9"/>
            <x:color rgb="FF000000"/>
            <x:rFont val="Tahoma"/>
            <x:family val="2"/>
          </x:rPr>
          <x:t>工具里填的</x:t>
        </x:r>
      </x:text>
    </x:comment>
    <x:comment ref="B5" authorId="0">
      <x:text>
        <x:r>
          <x:rPr>
            <x:vertAlign val="baseline"/>
            <x:sz val="9"/>
            <x:color rgb="FF000000"/>
            <x:rFont val="Tahoma"/>
            <x:family val="2"/>
          </x:rPr>
          <x:t>工具里填的（手填）</x:t>
        </x:r>
      </x:text>
    </x:comment>
    <x:comment ref="E5" authorId="0">
      <x:text>
        <x:r>
          <x:rPr>
            <x:vertAlign val="baseline"/>
            <x:sz val="9"/>
            <x:color rgb="FF000000"/>
            <x:rFont val="Tahoma"/>
            <x:family val="2"/>
          </x:rPr>
          <x:t>这一组按 15 ℃ 做；工具在开始前问你，冷水机上看到多少填多少——不是测的</x:t>
        </x:r>
      </x:text>
    </x:comment>
    <x:comment ref="B6" authorId="0">
      <x:text>
        <x:r>
          <x:rPr>
            <x:vertAlign val="baseline"/>
            <x:sz val="9"/>
            <x:color rgb="FF000000"/>
            <x:rFont val="Tahoma"/>
            <x:family val="2"/>
          </x:rPr>
          <x:t>工具从台面配置读的</x:t>
        </x:r>
      </x:text>
    </x:comment>
    <x:comment ref="E6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工具填：下发的夹套目标</x:t>
        </x:r>
      </x:text>
    </x:comment>
    <x:comment ref="B8" authorId="0">
      <x:text>
        <x:r>
          <x:rPr>
            <x:vertAlign val="baseline"/>
            <x:sz val="9"/>
            <x:color rgb="FF000000"/>
            <x:rFont val="Tahoma"/>
            <x:family val="2"/>
          </x:rPr>
          <x:t>工具从温控器读的（OVERTEMPUP），温控器自己那道最后防线</x:t>
        </x:r>
      </x:text>
    </x:comment>
    <x:comment ref="B9" authorId="0">
      <x:text>
        <x:r>
          <x:rPr>
            <x:vertAlign val="baseline"/>
            <x:sz val="9"/>
            <x:color rgb="FF000000"/>
            <x:rFont val="Tahoma"/>
            <x:family val="2"/>
          </x:rPr>
          <x:t>工具从热源状态量的跳变数出来的；一直没切显示空</x:t>
        </x:r>
      </x:text>
    </x:comment>
    <x:comment ref="B10" authorId="0">
      <x:text>
        <x:r>
          <x:rPr>
            <x:vertAlign val="baseline"/>
            <x:sz val="9"/>
            <x:color rgb="FF000000"/>
            <x:rFont val="Tahoma"/>
            <x:family val="2"/>
          </x:rPr>
          <x:t>打到哪一号</x:t>
        </x:r>
      </x:text>
    </x:comment>
    <x:comment ref="E10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工具填：完成 / 提前结束（原因）/ 中止（原因）</x:t>
        </x:r>
      </x:text>
    </x:comment>
    <x:comment ref="Q15" authorId="0">
      <x:text>
        <x:r>
          <x:rPr>
            <x:vertAlign val="baseline"/>
            <x:sz val="9"/>
            <x:color rgb="FF000000"/>
            <x:rFont val="Tahoma"/>
            <x:family val="2"/>
          </x:rPr>
          <x:t>到达 = 夹套首次进到目标 ±0.5 ℃；一直没到显示「未到」</x:t>
        </x:r>
      </x:text>
    </x:comment>
    <x:comment ref="Q16" authorId="0">
      <x:text>
        <x:r>
          <x:rPr>
            <x:vertAlign val="baseline"/>
            <x:sz val="9"/>
            <x:color rgb="FF000000"/>
            <x:rFont val="Tahoma"/>
            <x:family val="2"/>
          </x:rPr>
          <x:t>负的按 0 算：没到目标就没有过冲</x:t>
        </x:r>
      </x:text>
    </x:comment>
    <x:comment ref="Q17" authorId="0">
      <x:text>
        <x:r>
          <x:rPr>
            <x:vertAlign val="baseline"/>
            <x:sz val="9"/>
            <x:color rgb="FF000000"/>
            <x:rFont val="Tahoma"/>
            <x:family val="2"/>
          </x:rPr>
          <x:t>按 t=0 那行和往下第 10 行两点算</x:t>
        </x:r>
      </x:text>
    </x:comment>
    <x:comment ref="Q23" authorId="0">
      <x:text>
        <x:r>
          <x:rPr>
            <x:vertAlign val="baseline"/>
            <x:sz val="9"/>
            <x:color rgb="FF000000"/>
            <x:rFont val="Tahoma"/>
            <x:family val="2"/>
          </x:rPr>
          <x:t>到达 = 夹套首次进到目标 ±0.5 ℃；一直没到显示「未到」</x:t>
        </x:r>
      </x:text>
    </x:comment>
    <x:comment ref="Q24" authorId="0">
      <x:text>
        <x:r>
          <x:rPr>
            <x:vertAlign val="baseline"/>
            <x:sz val="9"/>
            <x:color rgb="FF000000"/>
            <x:rFont val="Tahoma"/>
            <x:family val="2"/>
          </x:rPr>
          <x:t>负的按 0 算：没到目标就没有过冲</x:t>
        </x:r>
      </x:text>
    </x:comment>
    <x:comment ref="Q25" authorId="0">
      <x:text>
        <x:r>
          <x:rPr>
            <x:vertAlign val="baseline"/>
            <x:sz val="9"/>
            <x:color rgb="FF000000"/>
            <x:rFont val="Tahoma"/>
            <x:family val="2"/>
          </x:rPr>
          <x:t>按 t=0 那行和往下第 10 行两点算</x:t>
        </x:r>
      </x:text>
    </x:comment>
  </x:commentList>
</x:comments>
</file>

<file path=xl/comments6.xml><?xml version="1.0" encoding="utf-8"?>
<x:comments xmlns:x="http://schemas.openxmlformats.org/spreadsheetml/2006/main">
  <x:authors>
    <x:author>root</x:author>
  </x:authors>
  <x:commentList>
    <x:comment ref="B4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工具填：测试当天</x:t>
        </x:r>
      </x:text>
    </x:comment>
    <x:comment ref="E4" authorId="0">
      <x:text>
        <x:r>
          <x:rPr>
            <x:vertAlign val="baseline"/>
            <x:sz val="9"/>
            <x:color rgb="FF000000"/>
            <x:rFont val="Tahoma"/>
            <x:family val="2"/>
          </x:rPr>
          <x:t>工具里填的</x:t>
        </x:r>
      </x:text>
    </x:comment>
    <x:comment ref="B5" authorId="0">
      <x:text>
        <x:r>
          <x:rPr>
            <x:vertAlign val="baseline"/>
            <x:sz val="9"/>
            <x:color rgb="FF000000"/>
            <x:rFont val="Tahoma"/>
            <x:family val="2"/>
          </x:rPr>
          <x:t>工具里填的（手填）</x:t>
        </x:r>
      </x:text>
    </x:comment>
    <x:comment ref="E5" authorId="0">
      <x:text>
        <x:r>
          <x:rPr>
            <x:vertAlign val="baseline"/>
            <x:sz val="9"/>
            <x:color rgb="FF000000"/>
            <x:rFont val="Tahoma"/>
            <x:family val="2"/>
          </x:rPr>
          <x:t>这一组按 7 ℃ 做；工具在开始前问你，冷水机上看到多少填多少——不是测的</x:t>
        </x:r>
      </x:text>
    </x:comment>
    <x:comment ref="B6" authorId="0">
      <x:text>
        <x:r>
          <x:rPr>
            <x:vertAlign val="baseline"/>
            <x:sz val="9"/>
            <x:color rgb="FF000000"/>
            <x:rFont val="Tahoma"/>
            <x:family val="2"/>
          </x:rPr>
          <x:t>工具从台面配置读的</x:t>
        </x:r>
      </x:text>
    </x:comment>
    <x:comment ref="E6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工具填：下发的夹套目标</x:t>
        </x:r>
      </x:text>
    </x:comment>
    <x:comment ref="B8" authorId="0">
      <x:text>
        <x:r>
          <x:rPr>
            <x:vertAlign val="baseline"/>
            <x:sz val="9"/>
            <x:color rgb="FF000000"/>
            <x:rFont val="Tahoma"/>
            <x:family val="2"/>
          </x:rPr>
          <x:t>工具从温控器读的（OVERTEMPUP），温控器自己那道最后防线</x:t>
        </x:r>
      </x:text>
    </x:comment>
    <x:comment ref="B9" authorId="0">
      <x:text>
        <x:r>
          <x:rPr>
            <x:vertAlign val="baseline"/>
            <x:sz val="9"/>
            <x:color rgb="FF000000"/>
            <x:rFont val="Tahoma"/>
            <x:family val="2"/>
          </x:rPr>
          <x:t>工具从热源状态量的跳变数出来的；一直没切显示空</x:t>
        </x:r>
      </x:text>
    </x:comment>
    <x:comment ref="B10" authorId="0">
      <x:text>
        <x:r>
          <x:rPr>
            <x:vertAlign val="baseline"/>
            <x:sz val="9"/>
            <x:color rgb="FF000000"/>
            <x:rFont val="Tahoma"/>
            <x:family val="2"/>
          </x:rPr>
          <x:t>打到哪一号</x:t>
        </x:r>
      </x:text>
    </x:comment>
    <x:comment ref="E10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工具填：完成 / 提前结束（原因）/ 中止（原因）</x:t>
        </x:r>
      </x:text>
    </x:comment>
    <x:comment ref="Q15" authorId="0">
      <x:text>
        <x:r>
          <x:rPr>
            <x:vertAlign val="baseline"/>
            <x:sz val="9"/>
            <x:color rgb="FF000000"/>
            <x:rFont val="Tahoma"/>
            <x:family val="2"/>
          </x:rPr>
          <x:t>到达 = 夹套首次进到目标 ±0.5 ℃；一直没到显示「未到」</x:t>
        </x:r>
      </x:text>
    </x:comment>
    <x:comment ref="Q16" authorId="0">
      <x:text>
        <x:r>
          <x:rPr>
            <x:vertAlign val="baseline"/>
            <x:sz val="9"/>
            <x:color rgb="FF000000"/>
            <x:rFont val="Tahoma"/>
            <x:family val="2"/>
          </x:rPr>
          <x:t>负的按 0 算：没到目标就没有过冲</x:t>
        </x:r>
      </x:text>
    </x:comment>
    <x:comment ref="Q17" authorId="0">
      <x:text>
        <x:r>
          <x:rPr>
            <x:vertAlign val="baseline"/>
            <x:sz val="9"/>
            <x:color rgb="FF000000"/>
            <x:rFont val="Tahoma"/>
            <x:family val="2"/>
          </x:rPr>
          <x:t>按 t=0 那行和往下第 10 行两点算</x:t>
        </x:r>
      </x:text>
    </x:comment>
    <x:comment ref="Q23" authorId="0">
      <x:text>
        <x:r>
          <x:rPr>
            <x:vertAlign val="baseline"/>
            <x:sz val="9"/>
            <x:color rgb="FF000000"/>
            <x:rFont val="Tahoma"/>
            <x:family val="2"/>
          </x:rPr>
          <x:t>到达 = 夹套首次进到目标 ±0.5 ℃；一直没到显示「未到」</x:t>
        </x:r>
      </x:text>
    </x:comment>
    <x:comment ref="Q24" authorId="0">
      <x:text>
        <x:r>
          <x:rPr>
            <x:vertAlign val="baseline"/>
            <x:sz val="9"/>
            <x:color rgb="FF000000"/>
            <x:rFont val="Tahoma"/>
            <x:family val="2"/>
          </x:rPr>
          <x:t>负的按 0 算：没到目标就没有过冲</x:t>
        </x:r>
      </x:text>
    </x:comment>
    <x:comment ref="Q25" authorId="0">
      <x:text>
        <x:r>
          <x:rPr>
            <x:vertAlign val="baseline"/>
            <x:sz val="9"/>
            <x:color rgb="FF000000"/>
            <x:rFont val="Tahoma"/>
            <x:family val="2"/>
          </x:rPr>
          <x:t>按 t=0 那行和往下第 10 行两点算</x:t>
        </x:r>
      </x:text>
    </x:comment>
  </x:commentList>
</x:comments>
</file>

<file path=xl/comments7.xml><?xml version="1.0" encoding="utf-8"?>
<x:comments xmlns:x="http://schemas.openxmlformats.org/spreadsheetml/2006/main">
  <x:authors>
    <x:author>root</x:author>
  </x:authors>
  <x:commentList>
    <x:comment ref="B4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工具填：测试当天</x:t>
        </x:r>
      </x:text>
    </x:comment>
    <x:comment ref="E4" authorId="0">
      <x:text>
        <x:r>
          <x:rPr>
            <x:vertAlign val="baseline"/>
            <x:sz val="9"/>
            <x:color rgb="FF000000"/>
            <x:rFont val="Tahoma"/>
            <x:family val="2"/>
          </x:rPr>
          <x:t>工具里填的</x:t>
        </x:r>
      </x:text>
    </x:comment>
    <x:comment ref="B5" authorId="0">
      <x:text>
        <x:r>
          <x:rPr>
            <x:vertAlign val="baseline"/>
            <x:sz val="9"/>
            <x:color rgb="FF000000"/>
            <x:rFont val="Tahoma"/>
            <x:family val="2"/>
          </x:rPr>
          <x:t>工具里填的（手填）</x:t>
        </x:r>
      </x:text>
    </x:comment>
    <x:comment ref="E5" authorId="0">
      <x:text>
        <x:r>
          <x:rPr>
            <x:vertAlign val="baseline"/>
            <x:sz val="9"/>
            <x:color rgb="FF000000"/>
            <x:rFont val="Tahoma"/>
            <x:family val="2"/>
          </x:rPr>
          <x:t>这一组按 20 ℃ 做；工具在开始前问你，冷水机上看到多少填多少——不是测的</x:t>
        </x:r>
      </x:text>
    </x:comment>
    <x:comment ref="B6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工具填：两工位同一个目标</x:t>
        </x:r>
      </x:text>
    </x:comment>
    <x:comment ref="E6" authorId="0">
      <x:text>
        <x:r>
          <x:rPr>
            <x:vertAlign val="baseline"/>
            <x:sz val="9"/>
            <x:color rgb="FF000000"/>
            <x:rFont val="Tahoma"/>
            <x:family val="2"/>
          </x:rPr>
          <x:t>工具从台面配置读的（「热源切换死区」）</x:t>
        </x:r>
      </x:text>
    </x:comment>
    <x:comment ref="B7" authorId="0">
      <x:text>
        <x:r>
          <x:rPr>
            <x:vertAlign val="baseline"/>
            <x:sz val="9"/>
            <x:color rgb="FF000000"/>
            <x:rFont val="Tahoma"/>
            <x:family val="2"/>
          </x:rPr>
          <x:t>下发到夹套首次进 ±0.5 ℃ 的用时；恒温记录从两路都到之后开始</x:t>
        </x:r>
      </x:text>
    </x:comment>
    <x:comment ref="B8" authorId="0">
      <x:text>
        <x:r>
          <x:rPr>
            <x:vertAlign val="baseline"/>
            <x:sz val="9"/>
            <x:color rgb="FF000000"/>
            <x:rFont val="Tahoma"/>
            <x:family val="2"/>
          </x:rPr>
          <x:t>打到哪一号</x:t>
        </x:r>
      </x:text>
    </x:comment>
    <x:comment ref="E8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工具填：完成 / 提前结束（原因）/ 中止（原因）</x:t>
        </x:r>
      </x:text>
    </x:comment>
    <x:comment ref="L28" authorId="0">
      <x:text>
        <x:r>
          <x:rPr>
            <x:vertAlign val="baseline"/>
            <x:sz val="9"/>
            <x:color rgb="FF000000"/>
            <x:rFont val="Tahoma"/>
            <x:family val="2"/>
          </x:rPr>
          <x:t>恒温期间正常应该是 0；有数就是在抖</x:t>
        </x:r>
      </x:text>
    </x:comment>
  </x:commentList>
</x:comments>
</file>

<file path=xl/comments8.xml><?xml version="1.0" encoding="utf-8"?>
<x:comments xmlns:x="http://schemas.openxmlformats.org/spreadsheetml/2006/main">
  <x:authors>
    <x:author>root</x:author>
  </x:authors>
  <x:commentList>
    <x:comment ref="B4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工具填：测试当天</x:t>
        </x:r>
      </x:text>
    </x:comment>
    <x:comment ref="E4" authorId="0">
      <x:text>
        <x:r>
          <x:rPr>
            <x:vertAlign val="baseline"/>
            <x:sz val="9"/>
            <x:color rgb="FF000000"/>
            <x:rFont val="Tahoma"/>
            <x:family val="2"/>
          </x:rPr>
          <x:t>工具里填的</x:t>
        </x:r>
      </x:text>
    </x:comment>
    <x:comment ref="B5" authorId="0">
      <x:text>
        <x:r>
          <x:rPr>
            <x:vertAlign val="baseline"/>
            <x:sz val="9"/>
            <x:color rgb="FF000000"/>
            <x:rFont val="Tahoma"/>
            <x:family val="2"/>
          </x:rPr>
          <x:t>工具里填的（手填）</x:t>
        </x:r>
      </x:text>
    </x:comment>
    <x:comment ref="E5" authorId="0">
      <x:text>
        <x:r>
          <x:rPr>
            <x:vertAlign val="baseline"/>
            <x:sz val="9"/>
            <x:color rgb="FF000000"/>
            <x:rFont val="Tahoma"/>
            <x:family val="2"/>
          </x:rPr>
          <x:t>这一组按 15 ℃ 做；工具在开始前问你，冷水机上看到多少填多少——不是测的</x:t>
        </x:r>
      </x:text>
    </x:comment>
    <x:comment ref="B6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工具填：两工位同一个目标</x:t>
        </x:r>
      </x:text>
    </x:comment>
    <x:comment ref="E6" authorId="0">
      <x:text>
        <x:r>
          <x:rPr>
            <x:vertAlign val="baseline"/>
            <x:sz val="9"/>
            <x:color rgb="FF000000"/>
            <x:rFont val="Tahoma"/>
            <x:family val="2"/>
          </x:rPr>
          <x:t>工具从台面配置读的（「热源切换死区」）</x:t>
        </x:r>
      </x:text>
    </x:comment>
    <x:comment ref="B7" authorId="0">
      <x:text>
        <x:r>
          <x:rPr>
            <x:vertAlign val="baseline"/>
            <x:sz val="9"/>
            <x:color rgb="FF000000"/>
            <x:rFont val="Tahoma"/>
            <x:family val="2"/>
          </x:rPr>
          <x:t>下发到夹套首次进 ±0.5 ℃ 的用时；恒温记录从两路都到之后开始</x:t>
        </x:r>
      </x:text>
    </x:comment>
    <x:comment ref="B8" authorId="0">
      <x:text>
        <x:r>
          <x:rPr>
            <x:vertAlign val="baseline"/>
            <x:sz val="9"/>
            <x:color rgb="FF000000"/>
            <x:rFont val="Tahoma"/>
            <x:family val="2"/>
          </x:rPr>
          <x:t>打到哪一号</x:t>
        </x:r>
      </x:text>
    </x:comment>
    <x:comment ref="E8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工具填：完成 / 提前结束（原因）/ 中止（原因）</x:t>
        </x:r>
      </x:text>
    </x:comment>
    <x:comment ref="L28" authorId="0">
      <x:text>
        <x:r>
          <x:rPr>
            <x:vertAlign val="baseline"/>
            <x:sz val="9"/>
            <x:color rgb="FF000000"/>
            <x:rFont val="Tahoma"/>
            <x:family val="2"/>
          </x:rPr>
          <x:t>恒温期间正常应该是 0；有数就是在抖</x:t>
        </x:r>
      </x:text>
    </x:comment>
  </x:commentList>
</x:comments>
</file>

<file path=xl/comments9.xml><?xml version="1.0" encoding="utf-8"?>
<x:comments xmlns:x="http://schemas.openxmlformats.org/spreadsheetml/2006/main">
  <x:authors>
    <x:author>root</x:author>
  </x:authors>
  <x:commentList>
    <x:comment ref="B4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工具填：测试当天</x:t>
        </x:r>
      </x:text>
    </x:comment>
    <x:comment ref="E4" authorId="0">
      <x:text>
        <x:r>
          <x:rPr>
            <x:vertAlign val="baseline"/>
            <x:sz val="9"/>
            <x:color rgb="FF000000"/>
            <x:rFont val="Tahoma"/>
            <x:family val="2"/>
          </x:rPr>
          <x:t>工具里填的</x:t>
        </x:r>
      </x:text>
    </x:comment>
    <x:comment ref="B5" authorId="0">
      <x:text>
        <x:r>
          <x:rPr>
            <x:vertAlign val="baseline"/>
            <x:sz val="9"/>
            <x:color rgb="FF000000"/>
            <x:rFont val="Tahoma"/>
            <x:family val="2"/>
          </x:rPr>
          <x:t>工具里填的（手填）</x:t>
        </x:r>
      </x:text>
    </x:comment>
    <x:comment ref="E5" authorId="0">
      <x:text>
        <x:r>
          <x:rPr>
            <x:vertAlign val="baseline"/>
            <x:sz val="9"/>
            <x:color rgb="FF000000"/>
            <x:rFont val="Tahoma"/>
            <x:family val="2"/>
          </x:rPr>
          <x:t>这一组按 7 ℃ 做；工具在开始前问你，冷水机上看到多少填多少——不是测的</x:t>
        </x:r>
      </x:text>
    </x:comment>
    <x:comment ref="B6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工具填：两工位同一个目标</x:t>
        </x:r>
      </x:text>
    </x:comment>
    <x:comment ref="E6" authorId="0">
      <x:text>
        <x:r>
          <x:rPr>
            <x:vertAlign val="baseline"/>
            <x:sz val="9"/>
            <x:color rgb="FF000000"/>
            <x:rFont val="Tahoma"/>
            <x:family val="2"/>
          </x:rPr>
          <x:t>工具从台面配置读的（「热源切换死区」）</x:t>
        </x:r>
      </x:text>
    </x:comment>
    <x:comment ref="B7" authorId="0">
      <x:text>
        <x:r>
          <x:rPr>
            <x:vertAlign val="baseline"/>
            <x:sz val="9"/>
            <x:color rgb="FF000000"/>
            <x:rFont val="Tahoma"/>
            <x:family val="2"/>
          </x:rPr>
          <x:t>下发到夹套首次进 ±0.5 ℃ 的用时；恒温记录从两路都到之后开始</x:t>
        </x:r>
      </x:text>
    </x:comment>
    <x:comment ref="B8" authorId="0">
      <x:text>
        <x:r>
          <x:rPr>
            <x:vertAlign val="baseline"/>
            <x:sz val="9"/>
            <x:color rgb="FF000000"/>
            <x:rFont val="Tahoma"/>
            <x:family val="2"/>
          </x:rPr>
          <x:t>打到哪一号</x:t>
        </x:r>
      </x:text>
    </x:comment>
    <x:comment ref="E8" authorId="0">
      <x:text>
        <x:r>
          <x:rPr>
            <x:vertAlign val="baseline"/>
            <x:sz val="9"/>
            <x:color rgb="FF000000"/>
            <x:rFont val="Tahoma"/>
            <x:family val="2"/>
          </x:rPr>
          <x:t>工具填：完成 / 提前结束（原因）/ 中止（原因）</x:t>
        </x:r>
      </x:text>
    </x:comment>
    <x:comment ref="L28" authorId="0">
      <x:text>
        <x:r>
          <x:rPr>
            <x:vertAlign val="baseline"/>
            <x:sz val="9"/>
            <x:color rgb="FF000000"/>
            <x:rFont val="Tahoma"/>
            <x:family val="2"/>
          </x:rPr>
          <x:t>恒温期间正常应该是 0；有数就是在抖</x:t>
        </x:r>
      </x:text>
    </x:comment>
  </x:commentList>
</x:comments>
</file>

<file path=xl/sharedStrings.xml><?xml version="1.0" encoding="utf-8"?>
<x:sst xmlns:x="http://schemas.openxmlformats.org/spreadsheetml/2006/main">
  <x:si>
    <x:t>控温极限测试记录</x:t>
  </x:si>
  <x:si>
    <x:t>双工位反应主机 · 由「控温极限测试工具」自动生成、自动填；汇总表自动算</x:t>
  </x:si>
  <x:si>
    <x:t>这份表怎么来的</x:t>
  </x:si>
  <x:si>
    <x:t xml:space="preserve">  工具按「最低温 / 最高温 / 恒温稳定性 × 冷却水 20 / 15 / 7 ℃」的矩阵自动跑，每项每个水温一张表，共 9 张，最后一张「结果汇总」是矩阵。</x:t>
  </x:si>
  <x:si>
    <x:t xml:space="preserve">  黄底蓝字：数据格，工具每到一个记录点写一行（最低温 / 最高温每 1 min，恒温每 2 min）。没采到的格子留空，工具不编数——空着的可以事后手填。</x:t>
  </x:si>
  <x:si>
    <x:t xml:space="preserve">  黑字浅蓝底：公式，Excel 打开时算，别手改。</x:t>
  </x:si>
  <x:si>
    <x:t>哪些是人填的</x:t>
  </x:si>
  <x:si>
    <x:t xml:space="preserve">  操作人、环境温度、补丁版本：开始前在工具里填一次，每张表都带上。</x:t>
  </x:si>
  <x:si>
    <x:t xml:space="preserve">  冷却水温度：工具在每一组水温开始前停下来问你，冷水机上看到多少填多少（手填，不是测的）。</x:t>
  </x:si>
  <x:si>
    <x:t xml:space="preserve">  备注：随便写。</x:t>
  </x:si>
  <x:si>
    <x:t>数据从哪来</x:t>
  </x:si>
  <x:si>
    <x:t xml:space="preserve">  夹套温度 / 输出 / 热源 / TEC 功率线：驱动每秒采样，取记录点那一刻的值。</x:t>
  </x:si>
  <x:si>
    <x:t xml:space="preserve">  釜内温度：宇电探头会话发的 Tr；没接探头这一列就是空的。</x:t>
  </x:si>
  <x:si>
    <x:t xml:space="preserve">  电流：温控器「实时状态」里的 CURRENT，每 5 s 读一次，取记录点前最近一次。</x:t>
  </x:si>
  <x:si>
    <x:t xml:space="preserve">  「切到电加热的时刻」「继电器动作次数」：从热源 / 功率线状态量的跳变数出来的，不靠人看灯。</x:t>
  </x:si>
  <x:si>
    <x:t xml:space="preserve">  每秒的全量数据在同目录的 csv 文件夹里，一次测试一个文件；表里只放记录点那一行。</x:t>
  </x:si>
  <x:si>
    <x:t>结果那一格</x:t>
  </x:si>
  <x:si>
    <x:t xml:space="preserve">  完成 / 提前结束（夹套 10 min 内变化不到 0.2 ℃）/ 中止（原因：操作人停止、急停、安全层触发、读数丢失……）。中止之前写的行都在。</x:t>
  </x:si>
  <x:si>
    <x:t>对应清单</x:t>
  </x:si>
  <x:si>
    <x:t xml:space="preserve">  docs/极限测试清单.md 第三块「控温极限」⑯ 最低温、⑰ 最高温、⑳ 长时间恒温。</x:t>
  </x:si>
  <x:si>
    <x:t>图例</x:t>
  </x:si>
  <x:si>
    <x:t>黄底蓝字 = 数据格（工具填，空着的可手填）</x:t>
  </x:si>
  <x:si>
    <x:t>黑字浅蓝底 = 公式</x:t>
  </x:si>
  <x:si>
    <x:t>最低温 20℃</x:t>
  </x:si>
  <x:si>
    <x:t>清单 ⑯：两工位同时「尽快」降到目标，看能到多低、多快、电流多大、两路同时满载电源顶不顶得住</x:t>
  </x:si>
  <x:si>
    <x:t>日期</x:t>
  </x:si>
  <x:si>
    <x:t>操作人</x:t>
  </x:si>
  <x:si>
    <x:t>环境温度 ℃</x:t>
  </x:si>
  <x:si>
    <x:t>冷却水温度 ℃（手填）</x:t>
  </x:si>
  <x:si>
    <x:t>工位 A 目标 ℃</x:t>
  </x:si>
  <x:si>
    <x:t>工位 B 目标 ℃</x:t>
  </x:si>
  <x:si>
    <x:t>到达方式</x:t>
  </x:si>
  <x:si>
    <x:t>尽快</x:t>
  </x:si>
  <x:si>
    <x:t>A 最大功率 LIMITED %</x:t>
  </x:si>
  <x:si>
    <x:t>B 最大功率 LIMITED %</x:t>
  </x:si>
  <x:si>
    <x:t>补丁版本</x:t>
  </x:si>
  <x:si>
    <x:t>结果</x:t>
  </x:si>
  <x:si>
    <x:t>备注</x:t>
  </x:si>
  <x:si>
    <x:t>时间 min</x:t>
  </x:si>
  <x:si>
    <x:t>A 夹套 ℃</x:t>
  </x:si>
  <x:si>
    <x:t>A 输出 %</x:t>
  </x:si>
  <x:si>
    <x:t>A 电流 A</x:t>
  </x:si>
  <x:si>
    <x:t>A 釜内 ℃</x:t>
  </x:si>
  <x:si>
    <x:t>A 热源</x:t>
  </x:si>
  <x:si>
    <x:t>B 夹套 ℃</x:t>
  </x:si>
  <x:si>
    <x:t>B 输出 %</x:t>
  </x:si>
  <x:si>
    <x:t>B 电流 A</x:t>
  </x:si>
  <x:si>
    <x:t>B 釜内 ℃</x:t>
  </x:si>
  <x:si>
    <x:t>B 热源</x:t>
  </x:si>
  <x:si>
    <x:t>A 到达?</x:t>
  </x:si>
  <x:si>
    <x:t>B 到达?</x:t>
  </x:si>
  <x:si>
    <x:t>汇总（自动算）</x:t>
  </x:si>
  <x:si>
    <x:t>值</x:t>
  </x:si>
  <x:si>
    <x:t>A 最低温 ℃</x:t>
  </x:si>
  <x:si>
    <x:t>A 到达用时 min（首次 ≤ 目标+0.5）</x:t>
  </x:si>
  <x:si>
    <x:t>A 最低温与目标差 ℃</x:t>
  </x:si>
  <x:si>
    <x:t>A 前 10 min 平均降温速率 ℃/min</x:t>
  </x:si>
  <x:si>
    <x:t>A 输出平均 %</x:t>
  </x:si>
  <x:si>
    <x:t>A 电流最大 A</x:t>
  </x:si>
  <x:si>
    <x:t>A 釜内最低 ℃</x:t>
  </x:si>
  <x:si>
    <x:t>B 最低温 ℃</x:t>
  </x:si>
  <x:si>
    <x:t>B 到达用时 min（首次 ≤ 目标+0.5）</x:t>
  </x:si>
  <x:si>
    <x:t>B 最低温与目标差 ℃</x:t>
  </x:si>
  <x:si>
    <x:t>B 前 10 min 平均降温速率 ℃/min</x:t>
  </x:si>
  <x:si>
    <x:t>B 输出平均 %</x:t>
  </x:si>
  <x:si>
    <x:t>B 电流最大 A</x:t>
  </x:si>
  <x:si>
    <x:t>B 釜内最低 ℃</x:t>
  </x:si>
  <x:si>
    <x:t>最低温 15℃</x:t>
  </x:si>
  <x:si>
    <x:t>最低温 7℃</x:t>
  </x:si>
  <x:si>
    <x:t>最高温 20℃</x:t>
  </x:si>
  <x:si>
    <x:t>清单 ⑰：两工位同时「尽快」升到目标（电加热段），看切电加热顺不顺、到温过冲多少</x:t>
  </x:si>
  <x:si>
    <x:t>电加热切换阈值 ℃</x:t>
  </x:si>
  <x:si>
    <x:t>A 超温上限 ℃</x:t>
  </x:si>
  <x:si>
    <x:t>B 超温上限 ℃</x:t>
  </x:si>
  <x:si>
    <x:t>A 切到电加热的时刻 min</x:t>
  </x:si>
  <x:si>
    <x:t>B 切到电加热的时刻 min</x:t>
  </x:si>
  <x:si>
    <x:t>A 最高温 ℃</x:t>
  </x:si>
  <x:si>
    <x:t>A 到达用时 min（首次 ≥ 目标−0.5）</x:t>
  </x:si>
  <x:si>
    <x:t>A 过冲 ℃（最高温−目标）</x:t>
  </x:si>
  <x:si>
    <x:t>A 前 10 min 平均升温速率 ℃/min</x:t>
  </x:si>
  <x:si>
    <x:t>A 釜内最高 ℃</x:t>
  </x:si>
  <x:si>
    <x:t>B 最高温 ℃</x:t>
  </x:si>
  <x:si>
    <x:t>B 到达用时 min（首次 ≥ 目标−0.5）</x:t>
  </x:si>
  <x:si>
    <x:t>B 过冲 ℃（最高温−目标）</x:t>
  </x:si>
  <x:si>
    <x:t>B 前 10 min 平均升温速率 ℃/min</x:t>
  </x:si>
  <x:si>
    <x:t>B 釜内最高 ℃</x:t>
  </x:si>
  <x:si>
    <x:t>最高温 15℃</x:t>
  </x:si>
  <x:si>
    <x:t>最高温 7℃</x:t>
  </x:si>
  <x:si>
    <x:t>恒温 20℃</x:t>
  </x:si>
  <x:si>
    <x:t>清单 ⑳：到达目标后恒温，看 Tj / Tr 的波动和继电器有没有抖</x:t>
  </x:si>
  <x:si>
    <x:t>恒温目标 ℃</x:t>
  </x:si>
  <x:si>
    <x:t>热源死区 K</x:t>
  </x:si>
  <x:si>
    <x:t>A 到达用时 min</x:t>
  </x:si>
  <x:si>
    <x:t>B 到达用时 min</x:t>
  </x:si>
  <x:si>
    <x:t>A Tj ℃</x:t>
  </x:si>
  <x:si>
    <x:t>A Tr ℃</x:t>
  </x:si>
  <x:si>
    <x:t>B Tj ℃</x:t>
  </x:si>
  <x:si>
    <x:t>B Tr ℃</x:t>
  </x:si>
  <x:si>
    <x:t>继电器动作 次</x:t>
  </x:si>
  <x:si>
    <x:t>A Tj 平均 ℃</x:t>
  </x:si>
  <x:si>
    <x:t>A Tj 峰峰值 ℃</x:t>
  </x:si>
  <x:si>
    <x:t>A Tj 波动 ± ℃</x:t>
  </x:si>
  <x:si>
    <x:t>A Tj 标准差 ℃</x:t>
  </x:si>
  <x:si>
    <x:t>A Tr 峰峰值 ℃</x:t>
  </x:si>
  <x:si>
    <x:t>A Tr 平均与目标差 ℃</x:t>
  </x:si>
  <x:si>
    <x:t>B Tj 平均 ℃</x:t>
  </x:si>
  <x:si>
    <x:t>B Tj 峰峰值 ℃</x:t>
  </x:si>
  <x:si>
    <x:t>B Tj 波动 ± ℃</x:t>
  </x:si>
  <x:si>
    <x:t>B Tj 标准差 ℃</x:t>
  </x:si>
  <x:si>
    <x:t>B Tr 峰峰值 ℃</x:t>
  </x:si>
  <x:si>
    <x:t>B Tr 平均与目标差 ℃</x:t>
  </x:si>
  <x:si>
    <x:t>继电器动作总次数</x:t>
  </x:si>
  <x:si>
    <x:t>恒温 15℃</x:t>
  </x:si>
  <x:si>
    <x:t>恒温 7℃</x:t>
  </x:si>
  <x:si>
    <x:t>结果汇总</x:t>
  </x:si>
  <x:si>
    <x:t>不用填，全从各表拉过来（水温 × 工位的矩阵）；最后连这张一起发</x:t>
  </x:si>
  <x:si>
    <x:t>项目</x:t>
  </x:si>
  <x:si>
    <x:t>20 ℃ · A</x:t>
  </x:si>
  <x:si>
    <x:t>20 ℃ · B</x:t>
  </x:si>
  <x:si>
    <x:t>15 ℃ · A</x:t>
  </x:si>
  <x:si>
    <x:t>15 ℃ · B</x:t>
  </x:si>
  <x:si>
    <x:t>7 ℃ · A</x:t>
  </x:si>
  <x:si>
    <x:t>7 ℃ · B</x:t>
  </x:si>
  <x:si>
    <x:t>说明</x:t>
  </x:si>
  <x:si>
    <x:t>最低温</x:t>
  </x:si>
  <x:si>
    <x:t>最低温 ℃</x:t>
  </x:si>
  <x:si>
    <x:t>夹套能到的最低温度</x:t>
  </x:si>
  <x:si>
    <x:t>到达用时 min</x:t>
  </x:si>
  <x:si>
    <x:t>首次 ≤ 目标 + 0.5 ℃；「未到」= 没到过</x:t>
  </x:si>
  <x:si>
    <x:t>最低温与目标差 ℃</x:t>
  </x:si>
  <x:si>
    <x:t>正数 = 没降到目标</x:t>
  </x:si>
  <x:si>
    <x:t>前 10 min 平均降温速率 ℃/min</x:t>
  </x:si>
  <x:si>
    <x:t>输出平均 %</x:t>
  </x:si>
  <x:si>
    <x:t>电流最大 A</x:t>
  </x:si>
  <x:si>
    <x:t>釜内最低 ℃</x:t>
  </x:si>
  <x:si>
    <x:t>没接 Tr 探头就是空</x:t>
  </x:si>
  <x:si>
    <x:t>最高温</x:t>
  </x:si>
  <x:si>
    <x:t>最高温 ℃</x:t>
  </x:si>
  <x:si>
    <x:t>首次 ≥ 目标 − 0.5 ℃</x:t>
  </x:si>
  <x:si>
    <x:t>过冲 ℃</x:t>
  </x:si>
  <x:si>
    <x:t>最高温 − 目标，负的按 0</x:t>
  </x:si>
  <x:si>
    <x:t>前 10 min 平均升温速率 ℃/min</x:t>
  </x:si>
  <x:si>
    <x:t>釜内最高 ℃</x:t>
  </x:si>
  <x:si>
    <x:t>恒温稳定性</x:t>
  </x:si>
  <x:si>
    <x:t>Tj 平均 ℃</x:t>
  </x:si>
  <x:si>
    <x:t>Tj 峰峰值 ℃</x:t>
  </x:si>
  <x:si>
    <x:t>Tj 波动 ± ℃</x:t>
  </x:si>
  <x:si>
    <x:t>Tj 标准差 ℃</x:t>
  </x:si>
  <x:si>
    <x:t>Tr 峰峰值 ℃</x:t>
  </x:si>
  <x:si>
    <x:t>Tr 平均与目标差 ℃</x:t>
  </x:si>
  <x:si>
    <x:t>两工位合计；正常应该是 0</x:t>
  </x:si>
  <x:si>
    <x:t>每一格都是公式，指向对应那张表右侧的「汇总（自动算）」；表里没数就是空。</x:t>
  </x:si>
</x:sst>
</file>

<file path=xl/styles.xml><?xml version="1.0" encoding="utf-8"?>
<x:styleSheet xmlns:x="http://schemas.openxmlformats.org/spreadsheetml/2006/main">
  <x:numFmts count="6">
    <x:numFmt numFmtId="0" formatCode=""/>
    <x:numFmt numFmtId="164" formatCode="yyyy-mm-dd"/>
    <x:numFmt numFmtId="165" formatCode="0.0"/>
    <x:numFmt numFmtId="166" formatCode="0"/>
    <x:numFmt numFmtId="167" formatCode="0.000"/>
    <x:numFmt numFmtId="168" formatCode="0.00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Arial"/>
      <x:family val="2"/>
    </x:font>
    <x:font>
      <x:i/>
      <x:vertAlign val="baseline"/>
      <x:sz val="9"/>
      <x:color rgb="FF666666"/>
      <x:name val="Arial"/>
      <x:family val="2"/>
    </x:font>
    <x:font>
      <x:b/>
      <x:vertAlign val="baseline"/>
      <x:sz val="10"/>
      <x:color rgb="FF000000"/>
      <x:name val="Arial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1"/>
      <x:color rgb="FF000000"/>
      <x:name val="Calibri"/>
      <x:family val="2"/>
    </x:font>
    <x:font>
      <x:vertAlign val="baseline"/>
      <x:sz val="10"/>
      <x:color rgb="FF0000FF"/>
      <x:name val="Arial"/>
      <x:family val="2"/>
    </x:font>
    <x:font>
      <x:b/>
      <x:vertAlign val="baseline"/>
      <x:sz val="10"/>
      <x:color rgb="FFFFFFFF"/>
      <x:name val="Arial"/>
      <x:family val="2"/>
    </x:font>
    <x:font>
      <x:b/>
      <x:vertAlign val="baseline"/>
      <x:sz val="11"/>
      <x:color rgb="FF000000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E8EEF4"/>
      </x:patternFill>
    </x:fill>
    <x:fill>
      <x:patternFill patternType="solid">
        <x:fgColor rgb="FF4A4A4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4" fillId="3" borderId="0" applyNumberFormat="1" applyFill="0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4" fontId="6" fillId="2" borderId="1" applyNumberFormat="1" applyFill="0" applyBorder="1" applyAlignment="1" applyProtection="1">
      <x:protection locked="1" hidden="0"/>
    </x:xf>
    <x:xf numFmtId="165" fontId="6" fillId="2" borderId="1" applyNumberFormat="1" applyFill="0" applyBorder="1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166" fontId="6" fillId="2" borderId="1" applyNumberFormat="1" applyFill="0" applyBorder="1" applyAlignment="1" applyProtection="1">
      <x:protection locked="1" hidden="0"/>
    </x:xf>
    <x:xf numFmtId="167" fontId="6" fillId="2" borderId="1" applyNumberFormat="1" applyFill="0" applyBorder="1" applyAlignment="1" applyProtection="1">
      <x:protection locked="1" hidden="0"/>
    </x:xf>
    <x:xf numFmtId="168" fontId="6" fillId="2" borderId="1" applyNumberFormat="1" applyFill="0" applyBorder="1" applyAlignment="1" applyProtection="1">
      <x:protection locked="1" hidden="0"/>
    </x:xf>
    <x:xf numFmtId="166" fontId="4" fillId="3" borderId="1" applyNumberFormat="1" applyFill="0" applyBorder="1" applyAlignment="1" applyProtection="1">
      <x:protection locked="1" hidden="0"/>
    </x:xf>
    <x:xf numFmtId="165" fontId="4" fillId="3" borderId="1" applyNumberFormat="1" applyFill="0" applyBorder="1" applyAlignment="1" applyProtection="1">
      <x:protection locked="1" hidden="0"/>
    </x:xf>
    <x:xf numFmtId="168" fontId="4" fillId="3" borderId="1" applyNumberFormat="1" applyFill="0" applyBorder="1" applyAlignment="1" applyProtection="1">
      <x:protection locked="1" hidden="0"/>
    </x:xf>
    <x:xf numFmtId="167" fontId="4" fillId="3" borderId="1" applyNumberFormat="1" applyFill="0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4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6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8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7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calcChain" Target="/xl/calcChain.xml" Id="rId33" /><Relationship Type="http://schemas.openxmlformats.org/officeDocument/2006/relationships/theme" Target="/xl/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Id15" /><Relationship Type="http://schemas.openxmlformats.org/officeDocument/2006/relationships/vmlDrawing" Target="/xl/drawings/vmldrawing.vml" Id="rId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Id17" /><Relationship Type="http://schemas.openxmlformats.org/officeDocument/2006/relationships/vmlDrawing" Target="/xl/drawings/vmldrawing2.vml" Id="rId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Id19" /><Relationship Type="http://schemas.openxmlformats.org/officeDocument/2006/relationships/vmlDrawing" Target="/xl/drawings/vmldrawing3.vml" Id="rId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4.xml" Id="rId21" /><Relationship Type="http://schemas.openxmlformats.org/officeDocument/2006/relationships/vmlDrawing" Target="/xl/drawings/vmldrawing4.vml" Id="rId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5.xml" Id="rId23" /><Relationship Type="http://schemas.openxmlformats.org/officeDocument/2006/relationships/vmlDrawing" Target="/xl/drawings/vmldrawing5.vml" Id="rId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6.xml" Id="rId25" /><Relationship Type="http://schemas.openxmlformats.org/officeDocument/2006/relationships/vmlDrawing" Target="/xl/drawings/vmldrawing6.vml" Id="rId2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7.xml" Id="rId27" /><Relationship Type="http://schemas.openxmlformats.org/officeDocument/2006/relationships/vmlDrawing" Target="/xl/drawings/vmldrawing7.vml" Id="rId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comments" Target="/xl/comments8.xml" Id="rId29" /><Relationship Type="http://schemas.openxmlformats.org/officeDocument/2006/relationships/vmlDrawing" Target="/xl/drawings/vmldrawing8.vml" Id="rId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comments" Target="/xl/comments9.xml" Id="rId31" /><Relationship Type="http://schemas.openxmlformats.org/officeDocument/2006/relationships/vmlDrawing" Target="/xl/drawings/vmldrawing9.vml" Id="rId32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5"/>
  <x:sheetViews>
    <x:sheetView workbookViewId="0"/>
  </x:sheetViews>
  <x:sheetFormatPr defaultRowHeight="15"/>
  <x:cols>
    <x:col min="1" max="1" width="4.710625" style="0" customWidth="1"/>
    <x:col min="2" max="2" width="110.710625" style="0" customWidth="1"/>
  </x:cols>
  <x:sheetData>
    <x:row r="1" spans="1:2">
      <x:c r="A1" s="1" t="s">
        <x:v>0</x:v>
      </x:c>
    </x:row>
    <x:row r="2" spans="1:2">
      <x:c r="A2" s="2" t="s">
        <x:v>1</x:v>
      </x:c>
    </x:row>
    <x:row r="4" spans="1:2">
      <x:c r="B4" s="3" t="s">
        <x:v>2</x:v>
      </x:c>
    </x:row>
    <x:row r="5" spans="1:2">
      <x:c r="B5" s="4" t="s">
        <x:v>3</x:v>
      </x:c>
    </x:row>
    <x:row r="6" spans="1:2">
      <x:c r="B6" s="4" t="s">
        <x:v>4</x:v>
      </x:c>
    </x:row>
    <x:row r="7" spans="1:2">
      <x:c r="B7" s="4" t="s">
        <x:v>5</x:v>
      </x:c>
    </x:row>
    <x:row r="8" spans="1:2">
      <x:c r="B8" s="3" t="s">
        <x:v>6</x:v>
      </x:c>
    </x:row>
    <x:row r="9" spans="1:2">
      <x:c r="B9" s="4" t="s">
        <x:v>7</x:v>
      </x:c>
    </x:row>
    <x:row r="10" spans="1:2">
      <x:c r="B10" s="4" t="s">
        <x:v>8</x:v>
      </x:c>
    </x:row>
    <x:row r="11" spans="1:2">
      <x:c r="B11" s="4" t="s">
        <x:v>9</x:v>
      </x:c>
    </x:row>
    <x:row r="12" spans="1:2">
      <x:c r="B12" s="3" t="s">
        <x:v>10</x:v>
      </x:c>
    </x:row>
    <x:row r="13" spans="1:2">
      <x:c r="B13" s="4" t="s">
        <x:v>11</x:v>
      </x:c>
    </x:row>
    <x:row r="14" spans="1:2">
      <x:c r="B14" s="4" t="s">
        <x:v>12</x:v>
      </x:c>
    </x:row>
    <x:row r="15" spans="1:2">
      <x:c r="B15" s="4" t="s">
        <x:v>13</x:v>
      </x:c>
    </x:row>
    <x:row r="16" spans="1:2">
      <x:c r="B16" s="4" t="s">
        <x:v>14</x:v>
      </x:c>
    </x:row>
    <x:row r="17" spans="1:2">
      <x:c r="B17" s="4" t="s">
        <x:v>15</x:v>
      </x:c>
    </x:row>
    <x:row r="18" spans="1:2">
      <x:c r="B18" s="3" t="s">
        <x:v>16</x:v>
      </x:c>
    </x:row>
    <x:row r="19" spans="1:2">
      <x:c r="B19" s="4" t="s">
        <x:v>17</x:v>
      </x:c>
    </x:row>
    <x:row r="20" spans="1:2">
      <x:c r="B20" s="3" t="s">
        <x:v>18</x:v>
      </x:c>
    </x:row>
    <x:row r="21" spans="1:2">
      <x:c r="B21" s="4" t="s">
        <x:v>19</x:v>
      </x:c>
    </x:row>
    <x:row r="23" spans="1:2">
      <x:c r="B23" s="5" t="s">
        <x:v>20</x:v>
      </x:c>
    </x:row>
    <x:row r="24" spans="1:2">
      <x:c r="B24" s="6" t="s">
        <x:v>21</x:v>
      </x:c>
    </x:row>
    <x:row r="25" spans="1:2">
      <x:c r="B25" s="7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72"/>
  <x:sheetViews>
    <x:sheetView workbookViewId="0">
      <x:pane xSplit="1" ySplit="11" topLeftCell="B12" activePane="bottomRight" state="frozenSplit"/>
    </x:sheetView>
  </x:sheetViews>
  <x:sheetFormatPr defaultRowHeight="15"/>
  <x:cols>
    <x:col min="1" max="1" width="10.710625" style="0" customWidth="1"/>
    <x:col min="2" max="2" width="11.710625" style="0" customWidth="1"/>
    <x:col min="3" max="4" width="10.710625" style="0" customWidth="1"/>
    <x:col min="5" max="5" width="11.710625" style="0" customWidth="1"/>
    <x:col min="6" max="6" width="9.710625" style="0" customWidth="1"/>
    <x:col min="7" max="7" width="11.710625" style="0" customWidth="1"/>
    <x:col min="8" max="9" width="10.710625" style="0" customWidth="1"/>
    <x:col min="10" max="10" width="11.710625" style="0" customWidth="1"/>
    <x:col min="11" max="11" width="9.710625" style="0" customWidth="1"/>
    <x:col min="12" max="12" width="22.710625" style="0" customWidth="1"/>
    <x:col min="13" max="14" width="10.710625" style="0" customWidth="1"/>
    <x:col min="15" max="15" width="9.140625" style="0" customWidth="1"/>
    <x:col min="16" max="16" width="36.710625" style="0" customWidth="1"/>
    <x:col min="17" max="17" width="14.710625" style="0" customWidth="1"/>
    <x:col min="18" max="20" width="9.140625" style="0" customWidth="1"/>
  </x:cols>
  <x:sheetData>
    <x:row r="1" spans="1:20">
      <x:c r="A1" s="1" t="s">
        <x:v>23</x:v>
      </x:c>
    </x:row>
    <x:row r="2" spans="1:20">
      <x:c r="A2" s="2" t="s">
        <x:v>24</x:v>
      </x:c>
    </x:row>
    <x:row r="4" spans="1:20">
      <x:c r="A4" s="8" t="s">
        <x:v>25</x:v>
      </x:c>
      <x:c r="B4" s="9"/>
      <x:c r="C4" s="10"/>
      <x:c r="D4" s="8" t="s">
        <x:v>26</x:v>
      </x:c>
      <x:c r="E4" s="11"/>
      <x:c r="F4" s="10"/>
    </x:row>
    <x:row r="5" spans="1:20">
      <x:c r="A5" s="8" t="s">
        <x:v>27</x:v>
      </x:c>
      <x:c r="B5" s="12"/>
      <x:c r="C5" s="10"/>
      <x:c r="D5" s="8" t="s">
        <x:v>28</x:v>
      </x:c>
      <x:c r="E5" s="12"/>
      <x:c r="F5" s="10"/>
    </x:row>
    <x:row r="6" spans="1:20">
      <x:c r="A6" s="8" t="s">
        <x:v>29</x:v>
      </x:c>
      <x:c r="B6" s="12"/>
      <x:c r="C6" s="10"/>
      <x:c r="D6" s="8" t="s">
        <x:v>30</x:v>
      </x:c>
      <x:c r="E6" s="12"/>
      <x:c r="F6" s="10"/>
    </x:row>
    <x:row r="7" spans="1:20">
      <x:c r="A7" s="8" t="s">
        <x:v>31</x:v>
      </x:c>
      <x:c r="B7" s="11" t="s">
        <x:v>32</x:v>
      </x:c>
      <x:c r="C7" s="10"/>
      <x:c r="D7" s="8" t="s">
        <x:v>33</x:v>
      </x:c>
      <x:c r="E7" s="12"/>
      <x:c r="F7" s="10"/>
    </x:row>
    <x:row r="8" spans="1:20">
      <x:c r="A8" s="8" t="s">
        <x:v>34</x:v>
      </x:c>
      <x:c r="B8" s="12"/>
      <x:c r="C8" s="10"/>
      <x:c r="D8" s="8" t="s">
        <x:v>35</x:v>
      </x:c>
      <x:c r="E8" s="11"/>
      <x:c r="F8" s="10"/>
    </x:row>
    <x:row r="9" spans="1:20">
      <x:c r="A9" s="8" t="s">
        <x:v>36</x:v>
      </x:c>
      <x:c r="B9" s="11"/>
      <x:c r="C9" s="10"/>
      <x:c r="D9" s="8" t="s">
        <x:v>37</x:v>
      </x:c>
      <x:c r="E9" s="11"/>
      <x:c r="F9" s="10"/>
    </x:row>
    <x:row r="11" spans="1:20">
      <x:c r="A11" s="13" t="s">
        <x:v>38</x:v>
      </x:c>
      <x:c r="B11" s="13" t="s">
        <x:v>39</x:v>
      </x:c>
      <x:c r="C11" s="13" t="s">
        <x:v>40</x:v>
      </x:c>
      <x:c r="D11" s="13" t="s">
        <x:v>41</x:v>
      </x:c>
      <x:c r="E11" s="13" t="s">
        <x:v>42</x:v>
      </x:c>
      <x:c r="F11" s="13" t="s">
        <x:v>43</x:v>
      </x:c>
      <x:c r="G11" s="13" t="s">
        <x:v>44</x:v>
      </x:c>
      <x:c r="H11" s="13" t="s">
        <x:v>45</x:v>
      </x:c>
      <x:c r="I11" s="13" t="s">
        <x:v>46</x:v>
      </x:c>
      <x:c r="J11" s="13" t="s">
        <x:v>47</x:v>
      </x:c>
      <x:c r="K11" s="13" t="s">
        <x:v>48</x:v>
      </x:c>
      <x:c r="L11" s="13" t="s">
        <x:v>37</x:v>
      </x:c>
      <x:c r="M11" s="13" t="s">
        <x:v>49</x:v>
      </x:c>
      <x:c r="N11" s="13" t="s">
        <x:v>50</x:v>
      </x:c>
      <x:c r="P11" s="13" t="s">
        <x:v>51</x:v>
      </x:c>
      <x:c r="Q11" s="13" t="s">
        <x:v>52</x:v>
      </x:c>
    </x:row>
    <x:row r="12" spans="1:20">
      <x:c r="A12" s="14">
        <x:v>0</x:v>
      </x:c>
      <x:c r="B12" s="12"/>
      <x:c r="C12" s="12"/>
      <x:c r="D12" s="15"/>
      <x:c r="E12" s="16"/>
      <x:c r="F12" s="11"/>
      <x:c r="G12" s="12"/>
      <x:c r="H12" s="12"/>
      <x:c r="I12" s="15"/>
      <x:c r="J12" s="16"/>
      <x:c r="K12" s="11"/>
      <x:c r="L12" s="11"/>
      <x:c r="M12" s="17">
        <x:f>IF(AND(B12&lt;&gt;"",$B$6&lt;&gt;""),IF(B12&lt;=$B$6+0.5,1,0),"")</x:f>
      </x:c>
      <x:c r="N12" s="17">
        <x:f>IF(AND(G12&lt;&gt;"",$E$6&lt;&gt;""),IF(G12&lt;=$E$6+0.5,1,0),"")</x:f>
      </x:c>
      <x:c r="P12" s="8" t="s">
        <x:v>53</x:v>
      </x:c>
      <x:c r="Q12" s="18">
        <x:f>IF(COUNT(B12:B72)=0,"",MIN(B12:B72))</x:f>
      </x:c>
    </x:row>
    <x:row r="13" spans="1:20">
      <x:c r="A13" s="14">
        <x:v>1</x:v>
      </x:c>
      <x:c r="B13" s="12"/>
      <x:c r="C13" s="12"/>
      <x:c r="D13" s="15"/>
      <x:c r="E13" s="16"/>
      <x:c r="F13" s="11"/>
      <x:c r="G13" s="12"/>
      <x:c r="H13" s="12"/>
      <x:c r="I13" s="15"/>
      <x:c r="J13" s="16"/>
      <x:c r="K13" s="11"/>
      <x:c r="L13" s="11"/>
      <x:c r="M13" s="17">
        <x:f>IF(AND(B13&lt;&gt;"",$B$6&lt;&gt;""),IF(B13&lt;=$B$6+0.5,1,0),"")</x:f>
      </x:c>
      <x:c r="N13" s="17">
        <x:f>IF(AND(G13&lt;&gt;"",$E$6&lt;&gt;""),IF(G13&lt;=$E$6+0.5,1,0),"")</x:f>
      </x:c>
      <x:c r="P13" s="8" t="s">
        <x:v>54</x:v>
      </x:c>
      <x:c r="Q13" s="17">
        <x:f>IFERROR(INDEX($A$12:$A$72,MATCH(1,M12:M72,0)),"未到")</x:f>
      </x:c>
    </x:row>
    <x:row r="14" spans="1:20">
      <x:c r="A14" s="14">
        <x:v>2</x:v>
      </x:c>
      <x:c r="B14" s="12"/>
      <x:c r="C14" s="12"/>
      <x:c r="D14" s="15"/>
      <x:c r="E14" s="16"/>
      <x:c r="F14" s="11"/>
      <x:c r="G14" s="12"/>
      <x:c r="H14" s="12"/>
      <x:c r="I14" s="15"/>
      <x:c r="J14" s="16"/>
      <x:c r="K14" s="11"/>
      <x:c r="L14" s="11"/>
      <x:c r="M14" s="17">
        <x:f>IF(AND(B14&lt;&gt;"",$B$6&lt;&gt;""),IF(B14&lt;=$B$6+0.5,1,0),"")</x:f>
      </x:c>
      <x:c r="N14" s="17">
        <x:f>IF(AND(G14&lt;&gt;"",$E$6&lt;&gt;""),IF(G14&lt;=$E$6+0.5,1,0),"")</x:f>
      </x:c>
      <x:c r="P14" s="8" t="s">
        <x:v>55</x:v>
      </x:c>
      <x:c r="Q14" s="18">
        <x:f>IF(OR($Q$12="",$B$6=""),"",$Q$12-$B$6)</x:f>
      </x:c>
    </x:row>
    <x:row r="15" spans="1:20">
      <x:c r="A15" s="14">
        <x:v>3</x:v>
      </x:c>
      <x:c r="B15" s="12"/>
      <x:c r="C15" s="12"/>
      <x:c r="D15" s="15"/>
      <x:c r="E15" s="16"/>
      <x:c r="F15" s="11"/>
      <x:c r="G15" s="12"/>
      <x:c r="H15" s="12"/>
      <x:c r="I15" s="15"/>
      <x:c r="J15" s="16"/>
      <x:c r="K15" s="11"/>
      <x:c r="L15" s="11"/>
      <x:c r="M15" s="17">
        <x:f>IF(AND(B15&lt;&gt;"",$B$6&lt;&gt;""),IF(B15&lt;=$B$6+0.5,1,0),"")</x:f>
      </x:c>
      <x:c r="N15" s="17">
        <x:f>IF(AND(G15&lt;&gt;"",$E$6&lt;&gt;""),IF(G15&lt;=$E$6+0.5,1,0),"")</x:f>
      </x:c>
      <x:c r="P15" s="8" t="s">
        <x:v>56</x:v>
      </x:c>
      <x:c r="Q15" s="19">
        <x:f>IF(OR(B12="",B22="",A22=A12),"",(B12-B22)/(A22-A12))</x:f>
      </x:c>
    </x:row>
    <x:row r="16" spans="1:20">
      <x:c r="A16" s="14">
        <x:v>4</x:v>
      </x:c>
      <x:c r="B16" s="12"/>
      <x:c r="C16" s="12"/>
      <x:c r="D16" s="15"/>
      <x:c r="E16" s="16"/>
      <x:c r="F16" s="11"/>
      <x:c r="G16" s="12"/>
      <x:c r="H16" s="12"/>
      <x:c r="I16" s="15"/>
      <x:c r="J16" s="16"/>
      <x:c r="K16" s="11"/>
      <x:c r="L16" s="11"/>
      <x:c r="M16" s="17">
        <x:f>IF(AND(B16&lt;&gt;"",$B$6&lt;&gt;""),IF(B16&lt;=$B$6+0.5,1,0),"")</x:f>
      </x:c>
      <x:c r="N16" s="17">
        <x:f>IF(AND(G16&lt;&gt;"",$E$6&lt;&gt;""),IF(G16&lt;=$E$6+0.5,1,0),"")</x:f>
      </x:c>
      <x:c r="P16" s="8" t="s">
        <x:v>57</x:v>
      </x:c>
      <x:c r="Q16" s="18">
        <x:f>IF(COUNT(C12:C72)=0,"",AVERAGE(C12:C72))</x:f>
      </x:c>
    </x:row>
    <x:row r="17" spans="1:20">
      <x:c r="A17" s="14">
        <x:v>5</x:v>
      </x:c>
      <x:c r="B17" s="12"/>
      <x:c r="C17" s="12"/>
      <x:c r="D17" s="15"/>
      <x:c r="E17" s="16"/>
      <x:c r="F17" s="11"/>
      <x:c r="G17" s="12"/>
      <x:c r="H17" s="12"/>
      <x:c r="I17" s="15"/>
      <x:c r="J17" s="16"/>
      <x:c r="K17" s="11"/>
      <x:c r="L17" s="11"/>
      <x:c r="M17" s="17">
        <x:f>IF(AND(B17&lt;&gt;"",$B$6&lt;&gt;""),IF(B17&lt;=$B$6+0.5,1,0),"")</x:f>
      </x:c>
      <x:c r="N17" s="17">
        <x:f>IF(AND(G17&lt;&gt;"",$E$6&lt;&gt;""),IF(G17&lt;=$E$6+0.5,1,0),"")</x:f>
      </x:c>
      <x:c r="P17" s="8" t="s">
        <x:v>58</x:v>
      </x:c>
      <x:c r="Q17" s="20">
        <x:f>IF(COUNT(D12:D72)=0,"",MAX(D12:D72))</x:f>
      </x:c>
    </x:row>
    <x:row r="18" spans="1:20">
      <x:c r="A18" s="14">
        <x:v>6</x:v>
      </x:c>
      <x:c r="B18" s="12"/>
      <x:c r="C18" s="12"/>
      <x:c r="D18" s="15"/>
      <x:c r="E18" s="16"/>
      <x:c r="F18" s="11"/>
      <x:c r="G18" s="12"/>
      <x:c r="H18" s="12"/>
      <x:c r="I18" s="15"/>
      <x:c r="J18" s="16"/>
      <x:c r="K18" s="11"/>
      <x:c r="L18" s="11"/>
      <x:c r="M18" s="17">
        <x:f>IF(AND(B18&lt;&gt;"",$B$6&lt;&gt;""),IF(B18&lt;=$B$6+0.5,1,0),"")</x:f>
      </x:c>
      <x:c r="N18" s="17">
        <x:f>IF(AND(G18&lt;&gt;"",$E$6&lt;&gt;""),IF(G18&lt;=$E$6+0.5,1,0),"")</x:f>
      </x:c>
      <x:c r="P18" s="8" t="s">
        <x:v>59</x:v>
      </x:c>
      <x:c r="Q18" s="19">
        <x:f>IF(COUNT(E12:E72)=0,"",MIN(E12:E72))</x:f>
      </x:c>
    </x:row>
    <x:row r="19" spans="1:20">
      <x:c r="A19" s="14">
        <x:v>7</x:v>
      </x:c>
      <x:c r="B19" s="12"/>
      <x:c r="C19" s="12"/>
      <x:c r="D19" s="15"/>
      <x:c r="E19" s="16"/>
      <x:c r="F19" s="11"/>
      <x:c r="G19" s="12"/>
      <x:c r="H19" s="12"/>
      <x:c r="I19" s="15"/>
      <x:c r="J19" s="16"/>
      <x:c r="K19" s="11"/>
      <x:c r="L19" s="11"/>
      <x:c r="M19" s="17">
        <x:f>IF(AND(B19&lt;&gt;"",$B$6&lt;&gt;""),IF(B19&lt;=$B$6+0.5,1,0),"")</x:f>
      </x:c>
      <x:c r="N19" s="17">
        <x:f>IF(AND(G19&lt;&gt;"",$E$6&lt;&gt;""),IF(G19&lt;=$E$6+0.5,1,0),"")</x:f>
      </x:c>
    </x:row>
    <x:row r="20" spans="1:20">
      <x:c r="A20" s="14">
        <x:v>8</x:v>
      </x:c>
      <x:c r="B20" s="12"/>
      <x:c r="C20" s="12"/>
      <x:c r="D20" s="15"/>
      <x:c r="E20" s="16"/>
      <x:c r="F20" s="11"/>
      <x:c r="G20" s="12"/>
      <x:c r="H20" s="12"/>
      <x:c r="I20" s="15"/>
      <x:c r="J20" s="16"/>
      <x:c r="K20" s="11"/>
      <x:c r="L20" s="11"/>
      <x:c r="M20" s="17">
        <x:f>IF(AND(B20&lt;&gt;"",$B$6&lt;&gt;""),IF(B20&lt;=$B$6+0.5,1,0),"")</x:f>
      </x:c>
      <x:c r="N20" s="17">
        <x:f>IF(AND(G20&lt;&gt;"",$E$6&lt;&gt;""),IF(G20&lt;=$E$6+0.5,1,0),"")</x:f>
      </x:c>
      <x:c r="P20" s="8" t="s">
        <x:v>60</x:v>
      </x:c>
      <x:c r="Q20" s="18">
        <x:f>IF(COUNT(G12:G72)=0,"",MIN(G12:G72))</x:f>
      </x:c>
    </x:row>
    <x:row r="21" spans="1:20">
      <x:c r="A21" s="14">
        <x:v>9</x:v>
      </x:c>
      <x:c r="B21" s="12"/>
      <x:c r="C21" s="12"/>
      <x:c r="D21" s="15"/>
      <x:c r="E21" s="16"/>
      <x:c r="F21" s="11"/>
      <x:c r="G21" s="12"/>
      <x:c r="H21" s="12"/>
      <x:c r="I21" s="15"/>
      <x:c r="J21" s="16"/>
      <x:c r="K21" s="11"/>
      <x:c r="L21" s="11"/>
      <x:c r="M21" s="17">
        <x:f>IF(AND(B21&lt;&gt;"",$B$6&lt;&gt;""),IF(B21&lt;=$B$6+0.5,1,0),"")</x:f>
      </x:c>
      <x:c r="N21" s="17">
        <x:f>IF(AND(G21&lt;&gt;"",$E$6&lt;&gt;""),IF(G21&lt;=$E$6+0.5,1,0),"")</x:f>
      </x:c>
      <x:c r="P21" s="8" t="s">
        <x:v>61</x:v>
      </x:c>
      <x:c r="Q21" s="17">
        <x:f>IFERROR(INDEX($A$12:$A$72,MATCH(1,N12:N72,0)),"未到")</x:f>
      </x:c>
    </x:row>
    <x:row r="22" spans="1:20">
      <x:c r="A22" s="14">
        <x:v>10</x:v>
      </x:c>
      <x:c r="B22" s="12"/>
      <x:c r="C22" s="12"/>
      <x:c r="D22" s="15"/>
      <x:c r="E22" s="16"/>
      <x:c r="F22" s="11"/>
      <x:c r="G22" s="12"/>
      <x:c r="H22" s="12"/>
      <x:c r="I22" s="15"/>
      <x:c r="J22" s="16"/>
      <x:c r="K22" s="11"/>
      <x:c r="L22" s="11"/>
      <x:c r="M22" s="17">
        <x:f>IF(AND(B22&lt;&gt;"",$B$6&lt;&gt;""),IF(B22&lt;=$B$6+0.5,1,0),"")</x:f>
      </x:c>
      <x:c r="N22" s="17">
        <x:f>IF(AND(G22&lt;&gt;"",$E$6&lt;&gt;""),IF(G22&lt;=$E$6+0.5,1,0),"")</x:f>
      </x:c>
      <x:c r="P22" s="8" t="s">
        <x:v>62</x:v>
      </x:c>
      <x:c r="Q22" s="18">
        <x:f>IF(OR($Q$20="",$E$6=""),"",$Q$20-$E$6)</x:f>
      </x:c>
    </x:row>
    <x:row r="23" spans="1:20">
      <x:c r="A23" s="14">
        <x:v>11</x:v>
      </x:c>
      <x:c r="B23" s="12"/>
      <x:c r="C23" s="12"/>
      <x:c r="D23" s="15"/>
      <x:c r="E23" s="16"/>
      <x:c r="F23" s="11"/>
      <x:c r="G23" s="12"/>
      <x:c r="H23" s="12"/>
      <x:c r="I23" s="15"/>
      <x:c r="J23" s="16"/>
      <x:c r="K23" s="11"/>
      <x:c r="L23" s="11"/>
      <x:c r="M23" s="17">
        <x:f>IF(AND(B23&lt;&gt;"",$B$6&lt;&gt;""),IF(B23&lt;=$B$6+0.5,1,0),"")</x:f>
      </x:c>
      <x:c r="N23" s="17">
        <x:f>IF(AND(G23&lt;&gt;"",$E$6&lt;&gt;""),IF(G23&lt;=$E$6+0.5,1,0),"")</x:f>
      </x:c>
      <x:c r="P23" s="8" t="s">
        <x:v>63</x:v>
      </x:c>
      <x:c r="Q23" s="19">
        <x:f>IF(OR(G12="",G22="",A22=A12),"",(G12-G22)/(A22-A12))</x:f>
      </x:c>
    </x:row>
    <x:row r="24" spans="1:20">
      <x:c r="A24" s="14">
        <x:v>12</x:v>
      </x:c>
      <x:c r="B24" s="12"/>
      <x:c r="C24" s="12"/>
      <x:c r="D24" s="15"/>
      <x:c r="E24" s="16"/>
      <x:c r="F24" s="11"/>
      <x:c r="G24" s="12"/>
      <x:c r="H24" s="12"/>
      <x:c r="I24" s="15"/>
      <x:c r="J24" s="16"/>
      <x:c r="K24" s="11"/>
      <x:c r="L24" s="11"/>
      <x:c r="M24" s="17">
        <x:f>IF(AND(B24&lt;&gt;"",$B$6&lt;&gt;""),IF(B24&lt;=$B$6+0.5,1,0),"")</x:f>
      </x:c>
      <x:c r="N24" s="17">
        <x:f>IF(AND(G24&lt;&gt;"",$E$6&lt;&gt;""),IF(G24&lt;=$E$6+0.5,1,0),"")</x:f>
      </x:c>
      <x:c r="P24" s="8" t="s">
        <x:v>64</x:v>
      </x:c>
      <x:c r="Q24" s="18">
        <x:f>IF(COUNT(H12:H72)=0,"",AVERAGE(H12:H72))</x:f>
      </x:c>
    </x:row>
    <x:row r="25" spans="1:20">
      <x:c r="A25" s="14">
        <x:v>13</x:v>
      </x:c>
      <x:c r="B25" s="12"/>
      <x:c r="C25" s="12"/>
      <x:c r="D25" s="15"/>
      <x:c r="E25" s="16"/>
      <x:c r="F25" s="11"/>
      <x:c r="G25" s="12"/>
      <x:c r="H25" s="12"/>
      <x:c r="I25" s="15"/>
      <x:c r="J25" s="16"/>
      <x:c r="K25" s="11"/>
      <x:c r="L25" s="11"/>
      <x:c r="M25" s="17">
        <x:f>IF(AND(B25&lt;&gt;"",$B$6&lt;&gt;""),IF(B25&lt;=$B$6+0.5,1,0),"")</x:f>
      </x:c>
      <x:c r="N25" s="17">
        <x:f>IF(AND(G25&lt;&gt;"",$E$6&lt;&gt;""),IF(G25&lt;=$E$6+0.5,1,0),"")</x:f>
      </x:c>
      <x:c r="P25" s="8" t="s">
        <x:v>65</x:v>
      </x:c>
      <x:c r="Q25" s="20">
        <x:f>IF(COUNT(I12:I72)=0,"",MAX(I12:I72))</x:f>
      </x:c>
    </x:row>
    <x:row r="26" spans="1:20">
      <x:c r="A26" s="14">
        <x:v>14</x:v>
      </x:c>
      <x:c r="B26" s="12"/>
      <x:c r="C26" s="12"/>
      <x:c r="D26" s="15"/>
      <x:c r="E26" s="16"/>
      <x:c r="F26" s="11"/>
      <x:c r="G26" s="12"/>
      <x:c r="H26" s="12"/>
      <x:c r="I26" s="15"/>
      <x:c r="J26" s="16"/>
      <x:c r="K26" s="11"/>
      <x:c r="L26" s="11"/>
      <x:c r="M26" s="17">
        <x:f>IF(AND(B26&lt;&gt;"",$B$6&lt;&gt;""),IF(B26&lt;=$B$6+0.5,1,0),"")</x:f>
      </x:c>
      <x:c r="N26" s="17">
        <x:f>IF(AND(G26&lt;&gt;"",$E$6&lt;&gt;""),IF(G26&lt;=$E$6+0.5,1,0),"")</x:f>
      </x:c>
      <x:c r="P26" s="8" t="s">
        <x:v>66</x:v>
      </x:c>
      <x:c r="Q26" s="19">
        <x:f>IF(COUNT(J12:J72)=0,"",MIN(J12:J72))</x:f>
      </x:c>
    </x:row>
    <x:row r="27" spans="1:20">
      <x:c r="A27" s="14">
        <x:v>15</x:v>
      </x:c>
      <x:c r="B27" s="12"/>
      <x:c r="C27" s="12"/>
      <x:c r="D27" s="15"/>
      <x:c r="E27" s="16"/>
      <x:c r="F27" s="11"/>
      <x:c r="G27" s="12"/>
      <x:c r="H27" s="12"/>
      <x:c r="I27" s="15"/>
      <x:c r="J27" s="16"/>
      <x:c r="K27" s="11"/>
      <x:c r="L27" s="11"/>
      <x:c r="M27" s="17">
        <x:f>IF(AND(B27&lt;&gt;"",$B$6&lt;&gt;""),IF(B27&lt;=$B$6+0.5,1,0),"")</x:f>
      </x:c>
      <x:c r="N27" s="17">
        <x:f>IF(AND(G27&lt;&gt;"",$E$6&lt;&gt;""),IF(G27&lt;=$E$6+0.5,1,0),"")</x:f>
      </x:c>
    </x:row>
    <x:row r="28" spans="1:20">
      <x:c r="A28" s="14">
        <x:v>16</x:v>
      </x:c>
      <x:c r="B28" s="12"/>
      <x:c r="C28" s="12"/>
      <x:c r="D28" s="15"/>
      <x:c r="E28" s="16"/>
      <x:c r="F28" s="11"/>
      <x:c r="G28" s="12"/>
      <x:c r="H28" s="12"/>
      <x:c r="I28" s="15"/>
      <x:c r="J28" s="16"/>
      <x:c r="K28" s="11"/>
      <x:c r="L28" s="11"/>
      <x:c r="M28" s="17">
        <x:f>IF(AND(B28&lt;&gt;"",$B$6&lt;&gt;""),IF(B28&lt;=$B$6+0.5,1,0),"")</x:f>
      </x:c>
      <x:c r="N28" s="17">
        <x:f>IF(AND(G28&lt;&gt;"",$E$6&lt;&gt;""),IF(G28&lt;=$E$6+0.5,1,0),"")</x:f>
      </x:c>
    </x:row>
    <x:row r="29" spans="1:20">
      <x:c r="A29" s="14">
        <x:v>17</x:v>
      </x:c>
      <x:c r="B29" s="12"/>
      <x:c r="C29" s="12"/>
      <x:c r="D29" s="15"/>
      <x:c r="E29" s="16"/>
      <x:c r="F29" s="11"/>
      <x:c r="G29" s="12"/>
      <x:c r="H29" s="12"/>
      <x:c r="I29" s="15"/>
      <x:c r="J29" s="16"/>
      <x:c r="K29" s="11"/>
      <x:c r="L29" s="11"/>
      <x:c r="M29" s="17">
        <x:f>IF(AND(B29&lt;&gt;"",$B$6&lt;&gt;""),IF(B29&lt;=$B$6+0.5,1,0),"")</x:f>
      </x:c>
      <x:c r="N29" s="17">
        <x:f>IF(AND(G29&lt;&gt;"",$E$6&lt;&gt;""),IF(G29&lt;=$E$6+0.5,1,0),"")</x:f>
      </x:c>
    </x:row>
    <x:row r="30" spans="1:20">
      <x:c r="A30" s="14">
        <x:v>18</x:v>
      </x:c>
      <x:c r="B30" s="12"/>
      <x:c r="C30" s="12"/>
      <x:c r="D30" s="15"/>
      <x:c r="E30" s="16"/>
      <x:c r="F30" s="11"/>
      <x:c r="G30" s="12"/>
      <x:c r="H30" s="12"/>
      <x:c r="I30" s="15"/>
      <x:c r="J30" s="16"/>
      <x:c r="K30" s="11"/>
      <x:c r="L30" s="11"/>
      <x:c r="M30" s="17">
        <x:f>IF(AND(B30&lt;&gt;"",$B$6&lt;&gt;""),IF(B30&lt;=$B$6+0.5,1,0),"")</x:f>
      </x:c>
      <x:c r="N30" s="17">
        <x:f>IF(AND(G30&lt;&gt;"",$E$6&lt;&gt;""),IF(G30&lt;=$E$6+0.5,1,0),"")</x:f>
      </x:c>
    </x:row>
    <x:row r="31" spans="1:20">
      <x:c r="A31" s="14">
        <x:v>19</x:v>
      </x:c>
      <x:c r="B31" s="12"/>
      <x:c r="C31" s="12"/>
      <x:c r="D31" s="15"/>
      <x:c r="E31" s="16"/>
      <x:c r="F31" s="11"/>
      <x:c r="G31" s="12"/>
      <x:c r="H31" s="12"/>
      <x:c r="I31" s="15"/>
      <x:c r="J31" s="16"/>
      <x:c r="K31" s="11"/>
      <x:c r="L31" s="11"/>
      <x:c r="M31" s="17">
        <x:f>IF(AND(B31&lt;&gt;"",$B$6&lt;&gt;""),IF(B31&lt;=$B$6+0.5,1,0),"")</x:f>
      </x:c>
      <x:c r="N31" s="17">
        <x:f>IF(AND(G31&lt;&gt;"",$E$6&lt;&gt;""),IF(G31&lt;=$E$6+0.5,1,0),"")</x:f>
      </x:c>
    </x:row>
    <x:row r="32" spans="1:20">
      <x:c r="A32" s="14">
        <x:v>20</x:v>
      </x:c>
      <x:c r="B32" s="12"/>
      <x:c r="C32" s="12"/>
      <x:c r="D32" s="15"/>
      <x:c r="E32" s="16"/>
      <x:c r="F32" s="11"/>
      <x:c r="G32" s="12"/>
      <x:c r="H32" s="12"/>
      <x:c r="I32" s="15"/>
      <x:c r="J32" s="16"/>
      <x:c r="K32" s="11"/>
      <x:c r="L32" s="11"/>
      <x:c r="M32" s="17">
        <x:f>IF(AND(B32&lt;&gt;"",$B$6&lt;&gt;""),IF(B32&lt;=$B$6+0.5,1,0),"")</x:f>
      </x:c>
      <x:c r="N32" s="17">
        <x:f>IF(AND(G32&lt;&gt;"",$E$6&lt;&gt;""),IF(G32&lt;=$E$6+0.5,1,0),"")</x:f>
      </x:c>
    </x:row>
    <x:row r="33" spans="1:20">
      <x:c r="A33" s="14">
        <x:v>21</x:v>
      </x:c>
      <x:c r="B33" s="12"/>
      <x:c r="C33" s="12"/>
      <x:c r="D33" s="15"/>
      <x:c r="E33" s="16"/>
      <x:c r="F33" s="11"/>
      <x:c r="G33" s="12"/>
      <x:c r="H33" s="12"/>
      <x:c r="I33" s="15"/>
      <x:c r="J33" s="16"/>
      <x:c r="K33" s="11"/>
      <x:c r="L33" s="11"/>
      <x:c r="M33" s="17">
        <x:f>IF(AND(B33&lt;&gt;"",$B$6&lt;&gt;""),IF(B33&lt;=$B$6+0.5,1,0),"")</x:f>
      </x:c>
      <x:c r="N33" s="17">
        <x:f>IF(AND(G33&lt;&gt;"",$E$6&lt;&gt;""),IF(G33&lt;=$E$6+0.5,1,0),"")</x:f>
      </x:c>
    </x:row>
    <x:row r="34" spans="1:20">
      <x:c r="A34" s="14">
        <x:v>22</x:v>
      </x:c>
      <x:c r="B34" s="12"/>
      <x:c r="C34" s="12"/>
      <x:c r="D34" s="15"/>
      <x:c r="E34" s="16"/>
      <x:c r="F34" s="11"/>
      <x:c r="G34" s="12"/>
      <x:c r="H34" s="12"/>
      <x:c r="I34" s="15"/>
      <x:c r="J34" s="16"/>
      <x:c r="K34" s="11"/>
      <x:c r="L34" s="11"/>
      <x:c r="M34" s="17">
        <x:f>IF(AND(B34&lt;&gt;"",$B$6&lt;&gt;""),IF(B34&lt;=$B$6+0.5,1,0),"")</x:f>
      </x:c>
      <x:c r="N34" s="17">
        <x:f>IF(AND(G34&lt;&gt;"",$E$6&lt;&gt;""),IF(G34&lt;=$E$6+0.5,1,0),"")</x:f>
      </x:c>
    </x:row>
    <x:row r="35" spans="1:20">
      <x:c r="A35" s="14">
        <x:v>23</x:v>
      </x:c>
      <x:c r="B35" s="12"/>
      <x:c r="C35" s="12"/>
      <x:c r="D35" s="15"/>
      <x:c r="E35" s="16"/>
      <x:c r="F35" s="11"/>
      <x:c r="G35" s="12"/>
      <x:c r="H35" s="12"/>
      <x:c r="I35" s="15"/>
      <x:c r="J35" s="16"/>
      <x:c r="K35" s="11"/>
      <x:c r="L35" s="11"/>
      <x:c r="M35" s="17">
        <x:f>IF(AND(B35&lt;&gt;"",$B$6&lt;&gt;""),IF(B35&lt;=$B$6+0.5,1,0),"")</x:f>
      </x:c>
      <x:c r="N35" s="17">
        <x:f>IF(AND(G35&lt;&gt;"",$E$6&lt;&gt;""),IF(G35&lt;=$E$6+0.5,1,0),"")</x:f>
      </x:c>
    </x:row>
    <x:row r="36" spans="1:20">
      <x:c r="A36" s="14">
        <x:v>24</x:v>
      </x:c>
      <x:c r="B36" s="12"/>
      <x:c r="C36" s="12"/>
      <x:c r="D36" s="15"/>
      <x:c r="E36" s="16"/>
      <x:c r="F36" s="11"/>
      <x:c r="G36" s="12"/>
      <x:c r="H36" s="12"/>
      <x:c r="I36" s="15"/>
      <x:c r="J36" s="16"/>
      <x:c r="K36" s="11"/>
      <x:c r="L36" s="11"/>
      <x:c r="M36" s="17">
        <x:f>IF(AND(B36&lt;&gt;"",$B$6&lt;&gt;""),IF(B36&lt;=$B$6+0.5,1,0),"")</x:f>
      </x:c>
      <x:c r="N36" s="17">
        <x:f>IF(AND(G36&lt;&gt;"",$E$6&lt;&gt;""),IF(G36&lt;=$E$6+0.5,1,0),"")</x:f>
      </x:c>
    </x:row>
    <x:row r="37" spans="1:20">
      <x:c r="A37" s="14">
        <x:v>25</x:v>
      </x:c>
      <x:c r="B37" s="12"/>
      <x:c r="C37" s="12"/>
      <x:c r="D37" s="15"/>
      <x:c r="E37" s="16"/>
      <x:c r="F37" s="11"/>
      <x:c r="G37" s="12"/>
      <x:c r="H37" s="12"/>
      <x:c r="I37" s="15"/>
      <x:c r="J37" s="16"/>
      <x:c r="K37" s="11"/>
      <x:c r="L37" s="11"/>
      <x:c r="M37" s="17">
        <x:f>IF(AND(B37&lt;&gt;"",$B$6&lt;&gt;""),IF(B37&lt;=$B$6+0.5,1,0),"")</x:f>
      </x:c>
      <x:c r="N37" s="17">
        <x:f>IF(AND(G37&lt;&gt;"",$E$6&lt;&gt;""),IF(G37&lt;=$E$6+0.5,1,0),"")</x:f>
      </x:c>
    </x:row>
    <x:row r="38" spans="1:20">
      <x:c r="A38" s="14">
        <x:v>26</x:v>
      </x:c>
      <x:c r="B38" s="12"/>
      <x:c r="C38" s="12"/>
      <x:c r="D38" s="15"/>
      <x:c r="E38" s="16"/>
      <x:c r="F38" s="11"/>
      <x:c r="G38" s="12"/>
      <x:c r="H38" s="12"/>
      <x:c r="I38" s="15"/>
      <x:c r="J38" s="16"/>
      <x:c r="K38" s="11"/>
      <x:c r="L38" s="11"/>
      <x:c r="M38" s="17">
        <x:f>IF(AND(B38&lt;&gt;"",$B$6&lt;&gt;""),IF(B38&lt;=$B$6+0.5,1,0),"")</x:f>
      </x:c>
      <x:c r="N38" s="17">
        <x:f>IF(AND(G38&lt;&gt;"",$E$6&lt;&gt;""),IF(G38&lt;=$E$6+0.5,1,0),"")</x:f>
      </x:c>
    </x:row>
    <x:row r="39" spans="1:20">
      <x:c r="A39" s="14">
        <x:v>27</x:v>
      </x:c>
      <x:c r="B39" s="12"/>
      <x:c r="C39" s="12"/>
      <x:c r="D39" s="15"/>
      <x:c r="E39" s="16"/>
      <x:c r="F39" s="11"/>
      <x:c r="G39" s="12"/>
      <x:c r="H39" s="12"/>
      <x:c r="I39" s="15"/>
      <x:c r="J39" s="16"/>
      <x:c r="K39" s="11"/>
      <x:c r="L39" s="11"/>
      <x:c r="M39" s="17">
        <x:f>IF(AND(B39&lt;&gt;"",$B$6&lt;&gt;""),IF(B39&lt;=$B$6+0.5,1,0),"")</x:f>
      </x:c>
      <x:c r="N39" s="17">
        <x:f>IF(AND(G39&lt;&gt;"",$E$6&lt;&gt;""),IF(G39&lt;=$E$6+0.5,1,0),"")</x:f>
      </x:c>
    </x:row>
    <x:row r="40" spans="1:20">
      <x:c r="A40" s="14">
        <x:v>28</x:v>
      </x:c>
      <x:c r="B40" s="12"/>
      <x:c r="C40" s="12"/>
      <x:c r="D40" s="15"/>
      <x:c r="E40" s="16"/>
      <x:c r="F40" s="11"/>
      <x:c r="G40" s="12"/>
      <x:c r="H40" s="12"/>
      <x:c r="I40" s="15"/>
      <x:c r="J40" s="16"/>
      <x:c r="K40" s="11"/>
      <x:c r="L40" s="11"/>
      <x:c r="M40" s="17">
        <x:f>IF(AND(B40&lt;&gt;"",$B$6&lt;&gt;""),IF(B40&lt;=$B$6+0.5,1,0),"")</x:f>
      </x:c>
      <x:c r="N40" s="17">
        <x:f>IF(AND(G40&lt;&gt;"",$E$6&lt;&gt;""),IF(G40&lt;=$E$6+0.5,1,0),"")</x:f>
      </x:c>
    </x:row>
    <x:row r="41" spans="1:20">
      <x:c r="A41" s="14">
        <x:v>29</x:v>
      </x:c>
      <x:c r="B41" s="12"/>
      <x:c r="C41" s="12"/>
      <x:c r="D41" s="15"/>
      <x:c r="E41" s="16"/>
      <x:c r="F41" s="11"/>
      <x:c r="G41" s="12"/>
      <x:c r="H41" s="12"/>
      <x:c r="I41" s="15"/>
      <x:c r="J41" s="16"/>
      <x:c r="K41" s="11"/>
      <x:c r="L41" s="11"/>
      <x:c r="M41" s="17">
        <x:f>IF(AND(B41&lt;&gt;"",$B$6&lt;&gt;""),IF(B41&lt;=$B$6+0.5,1,0),"")</x:f>
      </x:c>
      <x:c r="N41" s="17">
        <x:f>IF(AND(G41&lt;&gt;"",$E$6&lt;&gt;""),IF(G41&lt;=$E$6+0.5,1,0),"")</x:f>
      </x:c>
    </x:row>
    <x:row r="42" spans="1:20">
      <x:c r="A42" s="14">
        <x:v>30</x:v>
      </x:c>
      <x:c r="B42" s="12"/>
      <x:c r="C42" s="12"/>
      <x:c r="D42" s="15"/>
      <x:c r="E42" s="16"/>
      <x:c r="F42" s="11"/>
      <x:c r="G42" s="12"/>
      <x:c r="H42" s="12"/>
      <x:c r="I42" s="15"/>
      <x:c r="J42" s="16"/>
      <x:c r="K42" s="11"/>
      <x:c r="L42" s="11"/>
      <x:c r="M42" s="17">
        <x:f>IF(AND(B42&lt;&gt;"",$B$6&lt;&gt;""),IF(B42&lt;=$B$6+0.5,1,0),"")</x:f>
      </x:c>
      <x:c r="N42" s="17">
        <x:f>IF(AND(G42&lt;&gt;"",$E$6&lt;&gt;""),IF(G42&lt;=$E$6+0.5,1,0),"")</x:f>
      </x:c>
    </x:row>
    <x:row r="43" spans="1:20">
      <x:c r="A43" s="14">
        <x:v>31</x:v>
      </x:c>
      <x:c r="B43" s="12"/>
      <x:c r="C43" s="12"/>
      <x:c r="D43" s="15"/>
      <x:c r="E43" s="16"/>
      <x:c r="F43" s="11"/>
      <x:c r="G43" s="12"/>
      <x:c r="H43" s="12"/>
      <x:c r="I43" s="15"/>
      <x:c r="J43" s="16"/>
      <x:c r="K43" s="11"/>
      <x:c r="L43" s="11"/>
      <x:c r="M43" s="17">
        <x:f>IF(AND(B43&lt;&gt;"",$B$6&lt;&gt;""),IF(B43&lt;=$B$6+0.5,1,0),"")</x:f>
      </x:c>
      <x:c r="N43" s="17">
        <x:f>IF(AND(G43&lt;&gt;"",$E$6&lt;&gt;""),IF(G43&lt;=$E$6+0.5,1,0),"")</x:f>
      </x:c>
    </x:row>
    <x:row r="44" spans="1:20">
      <x:c r="A44" s="14">
        <x:v>32</x:v>
      </x:c>
      <x:c r="B44" s="12"/>
      <x:c r="C44" s="12"/>
      <x:c r="D44" s="15"/>
      <x:c r="E44" s="16"/>
      <x:c r="F44" s="11"/>
      <x:c r="G44" s="12"/>
      <x:c r="H44" s="12"/>
      <x:c r="I44" s="15"/>
      <x:c r="J44" s="16"/>
      <x:c r="K44" s="11"/>
      <x:c r="L44" s="11"/>
      <x:c r="M44" s="17">
        <x:f>IF(AND(B44&lt;&gt;"",$B$6&lt;&gt;""),IF(B44&lt;=$B$6+0.5,1,0),"")</x:f>
      </x:c>
      <x:c r="N44" s="17">
        <x:f>IF(AND(G44&lt;&gt;"",$E$6&lt;&gt;""),IF(G44&lt;=$E$6+0.5,1,0),"")</x:f>
      </x:c>
    </x:row>
    <x:row r="45" spans="1:20">
      <x:c r="A45" s="14">
        <x:v>33</x:v>
      </x:c>
      <x:c r="B45" s="12"/>
      <x:c r="C45" s="12"/>
      <x:c r="D45" s="15"/>
      <x:c r="E45" s="16"/>
      <x:c r="F45" s="11"/>
      <x:c r="G45" s="12"/>
      <x:c r="H45" s="12"/>
      <x:c r="I45" s="15"/>
      <x:c r="J45" s="16"/>
      <x:c r="K45" s="11"/>
      <x:c r="L45" s="11"/>
      <x:c r="M45" s="17">
        <x:f>IF(AND(B45&lt;&gt;"",$B$6&lt;&gt;""),IF(B45&lt;=$B$6+0.5,1,0),"")</x:f>
      </x:c>
      <x:c r="N45" s="17">
        <x:f>IF(AND(G45&lt;&gt;"",$E$6&lt;&gt;""),IF(G45&lt;=$E$6+0.5,1,0),"")</x:f>
      </x:c>
    </x:row>
    <x:row r="46" spans="1:20">
      <x:c r="A46" s="14">
        <x:v>34</x:v>
      </x:c>
      <x:c r="B46" s="12"/>
      <x:c r="C46" s="12"/>
      <x:c r="D46" s="15"/>
      <x:c r="E46" s="16"/>
      <x:c r="F46" s="11"/>
      <x:c r="G46" s="12"/>
      <x:c r="H46" s="12"/>
      <x:c r="I46" s="15"/>
      <x:c r="J46" s="16"/>
      <x:c r="K46" s="11"/>
      <x:c r="L46" s="11"/>
      <x:c r="M46" s="17">
        <x:f>IF(AND(B46&lt;&gt;"",$B$6&lt;&gt;""),IF(B46&lt;=$B$6+0.5,1,0),"")</x:f>
      </x:c>
      <x:c r="N46" s="17">
        <x:f>IF(AND(G46&lt;&gt;"",$E$6&lt;&gt;""),IF(G46&lt;=$E$6+0.5,1,0),"")</x:f>
      </x:c>
    </x:row>
    <x:row r="47" spans="1:20">
      <x:c r="A47" s="14">
        <x:v>35</x:v>
      </x:c>
      <x:c r="B47" s="12"/>
      <x:c r="C47" s="12"/>
      <x:c r="D47" s="15"/>
      <x:c r="E47" s="16"/>
      <x:c r="F47" s="11"/>
      <x:c r="G47" s="12"/>
      <x:c r="H47" s="12"/>
      <x:c r="I47" s="15"/>
      <x:c r="J47" s="16"/>
      <x:c r="K47" s="11"/>
      <x:c r="L47" s="11"/>
      <x:c r="M47" s="17">
        <x:f>IF(AND(B47&lt;&gt;"",$B$6&lt;&gt;""),IF(B47&lt;=$B$6+0.5,1,0),"")</x:f>
      </x:c>
      <x:c r="N47" s="17">
        <x:f>IF(AND(G47&lt;&gt;"",$E$6&lt;&gt;""),IF(G47&lt;=$E$6+0.5,1,0),"")</x:f>
      </x:c>
    </x:row>
    <x:row r="48" spans="1:20">
      <x:c r="A48" s="14">
        <x:v>36</x:v>
      </x:c>
      <x:c r="B48" s="12"/>
      <x:c r="C48" s="12"/>
      <x:c r="D48" s="15"/>
      <x:c r="E48" s="16"/>
      <x:c r="F48" s="11"/>
      <x:c r="G48" s="12"/>
      <x:c r="H48" s="12"/>
      <x:c r="I48" s="15"/>
      <x:c r="J48" s="16"/>
      <x:c r="K48" s="11"/>
      <x:c r="L48" s="11"/>
      <x:c r="M48" s="17">
        <x:f>IF(AND(B48&lt;&gt;"",$B$6&lt;&gt;""),IF(B48&lt;=$B$6+0.5,1,0),"")</x:f>
      </x:c>
      <x:c r="N48" s="17">
        <x:f>IF(AND(G48&lt;&gt;"",$E$6&lt;&gt;""),IF(G48&lt;=$E$6+0.5,1,0),"")</x:f>
      </x:c>
    </x:row>
    <x:row r="49" spans="1:20">
      <x:c r="A49" s="14">
        <x:v>37</x:v>
      </x:c>
      <x:c r="B49" s="12"/>
      <x:c r="C49" s="12"/>
      <x:c r="D49" s="15"/>
      <x:c r="E49" s="16"/>
      <x:c r="F49" s="11"/>
      <x:c r="G49" s="12"/>
      <x:c r="H49" s="12"/>
      <x:c r="I49" s="15"/>
      <x:c r="J49" s="16"/>
      <x:c r="K49" s="11"/>
      <x:c r="L49" s="11"/>
      <x:c r="M49" s="17">
        <x:f>IF(AND(B49&lt;&gt;"",$B$6&lt;&gt;""),IF(B49&lt;=$B$6+0.5,1,0),"")</x:f>
      </x:c>
      <x:c r="N49" s="17">
        <x:f>IF(AND(G49&lt;&gt;"",$E$6&lt;&gt;""),IF(G49&lt;=$E$6+0.5,1,0),"")</x:f>
      </x:c>
    </x:row>
    <x:row r="50" spans="1:20">
      <x:c r="A50" s="14">
        <x:v>38</x:v>
      </x:c>
      <x:c r="B50" s="12"/>
      <x:c r="C50" s="12"/>
      <x:c r="D50" s="15"/>
      <x:c r="E50" s="16"/>
      <x:c r="F50" s="11"/>
      <x:c r="G50" s="12"/>
      <x:c r="H50" s="12"/>
      <x:c r="I50" s="15"/>
      <x:c r="J50" s="16"/>
      <x:c r="K50" s="11"/>
      <x:c r="L50" s="11"/>
      <x:c r="M50" s="17">
        <x:f>IF(AND(B50&lt;&gt;"",$B$6&lt;&gt;""),IF(B50&lt;=$B$6+0.5,1,0),"")</x:f>
      </x:c>
      <x:c r="N50" s="17">
        <x:f>IF(AND(G50&lt;&gt;"",$E$6&lt;&gt;""),IF(G50&lt;=$E$6+0.5,1,0),"")</x:f>
      </x:c>
    </x:row>
    <x:row r="51" spans="1:20">
      <x:c r="A51" s="14">
        <x:v>39</x:v>
      </x:c>
      <x:c r="B51" s="12"/>
      <x:c r="C51" s="12"/>
      <x:c r="D51" s="15"/>
      <x:c r="E51" s="16"/>
      <x:c r="F51" s="11"/>
      <x:c r="G51" s="12"/>
      <x:c r="H51" s="12"/>
      <x:c r="I51" s="15"/>
      <x:c r="J51" s="16"/>
      <x:c r="K51" s="11"/>
      <x:c r="L51" s="11"/>
      <x:c r="M51" s="17">
        <x:f>IF(AND(B51&lt;&gt;"",$B$6&lt;&gt;""),IF(B51&lt;=$B$6+0.5,1,0),"")</x:f>
      </x:c>
      <x:c r="N51" s="17">
        <x:f>IF(AND(G51&lt;&gt;"",$E$6&lt;&gt;""),IF(G51&lt;=$E$6+0.5,1,0),"")</x:f>
      </x:c>
    </x:row>
    <x:row r="52" spans="1:20">
      <x:c r="A52" s="14">
        <x:v>40</x:v>
      </x:c>
      <x:c r="B52" s="12"/>
      <x:c r="C52" s="12"/>
      <x:c r="D52" s="15"/>
      <x:c r="E52" s="16"/>
      <x:c r="F52" s="11"/>
      <x:c r="G52" s="12"/>
      <x:c r="H52" s="12"/>
      <x:c r="I52" s="15"/>
      <x:c r="J52" s="16"/>
      <x:c r="K52" s="11"/>
      <x:c r="L52" s="11"/>
      <x:c r="M52" s="17">
        <x:f>IF(AND(B52&lt;&gt;"",$B$6&lt;&gt;""),IF(B52&lt;=$B$6+0.5,1,0),"")</x:f>
      </x:c>
      <x:c r="N52" s="17">
        <x:f>IF(AND(G52&lt;&gt;"",$E$6&lt;&gt;""),IF(G52&lt;=$E$6+0.5,1,0),"")</x:f>
      </x:c>
    </x:row>
    <x:row r="53" spans="1:20">
      <x:c r="A53" s="14">
        <x:v>41</x:v>
      </x:c>
      <x:c r="B53" s="12"/>
      <x:c r="C53" s="12"/>
      <x:c r="D53" s="15"/>
      <x:c r="E53" s="16"/>
      <x:c r="F53" s="11"/>
      <x:c r="G53" s="12"/>
      <x:c r="H53" s="12"/>
      <x:c r="I53" s="15"/>
      <x:c r="J53" s="16"/>
      <x:c r="K53" s="11"/>
      <x:c r="L53" s="11"/>
      <x:c r="M53" s="17">
        <x:f>IF(AND(B53&lt;&gt;"",$B$6&lt;&gt;""),IF(B53&lt;=$B$6+0.5,1,0),"")</x:f>
      </x:c>
      <x:c r="N53" s="17">
        <x:f>IF(AND(G53&lt;&gt;"",$E$6&lt;&gt;""),IF(G53&lt;=$E$6+0.5,1,0),"")</x:f>
      </x:c>
    </x:row>
    <x:row r="54" spans="1:20">
      <x:c r="A54" s="14">
        <x:v>42</x:v>
      </x:c>
      <x:c r="B54" s="12"/>
      <x:c r="C54" s="12"/>
      <x:c r="D54" s="15"/>
      <x:c r="E54" s="16"/>
      <x:c r="F54" s="11"/>
      <x:c r="G54" s="12"/>
      <x:c r="H54" s="12"/>
      <x:c r="I54" s="15"/>
      <x:c r="J54" s="16"/>
      <x:c r="K54" s="11"/>
      <x:c r="L54" s="11"/>
      <x:c r="M54" s="17">
        <x:f>IF(AND(B54&lt;&gt;"",$B$6&lt;&gt;""),IF(B54&lt;=$B$6+0.5,1,0),"")</x:f>
      </x:c>
      <x:c r="N54" s="17">
        <x:f>IF(AND(G54&lt;&gt;"",$E$6&lt;&gt;""),IF(G54&lt;=$E$6+0.5,1,0),"")</x:f>
      </x:c>
    </x:row>
    <x:row r="55" spans="1:20">
      <x:c r="A55" s="14">
        <x:v>43</x:v>
      </x:c>
      <x:c r="B55" s="12"/>
      <x:c r="C55" s="12"/>
      <x:c r="D55" s="15"/>
      <x:c r="E55" s="16"/>
      <x:c r="F55" s="11"/>
      <x:c r="G55" s="12"/>
      <x:c r="H55" s="12"/>
      <x:c r="I55" s="15"/>
      <x:c r="J55" s="16"/>
      <x:c r="K55" s="11"/>
      <x:c r="L55" s="11"/>
      <x:c r="M55" s="17">
        <x:f>IF(AND(B55&lt;&gt;"",$B$6&lt;&gt;""),IF(B55&lt;=$B$6+0.5,1,0),"")</x:f>
      </x:c>
      <x:c r="N55" s="17">
        <x:f>IF(AND(G55&lt;&gt;"",$E$6&lt;&gt;""),IF(G55&lt;=$E$6+0.5,1,0),"")</x:f>
      </x:c>
    </x:row>
    <x:row r="56" spans="1:20">
      <x:c r="A56" s="14">
        <x:v>44</x:v>
      </x:c>
      <x:c r="B56" s="12"/>
      <x:c r="C56" s="12"/>
      <x:c r="D56" s="15"/>
      <x:c r="E56" s="16"/>
      <x:c r="F56" s="11"/>
      <x:c r="G56" s="12"/>
      <x:c r="H56" s="12"/>
      <x:c r="I56" s="15"/>
      <x:c r="J56" s="16"/>
      <x:c r="K56" s="11"/>
      <x:c r="L56" s="11"/>
      <x:c r="M56" s="17">
        <x:f>IF(AND(B56&lt;&gt;"",$B$6&lt;&gt;""),IF(B56&lt;=$B$6+0.5,1,0),"")</x:f>
      </x:c>
      <x:c r="N56" s="17">
        <x:f>IF(AND(G56&lt;&gt;"",$E$6&lt;&gt;""),IF(G56&lt;=$E$6+0.5,1,0),"")</x:f>
      </x:c>
    </x:row>
    <x:row r="57" spans="1:20">
      <x:c r="A57" s="14">
        <x:v>45</x:v>
      </x:c>
      <x:c r="B57" s="12"/>
      <x:c r="C57" s="12"/>
      <x:c r="D57" s="15"/>
      <x:c r="E57" s="16"/>
      <x:c r="F57" s="11"/>
      <x:c r="G57" s="12"/>
      <x:c r="H57" s="12"/>
      <x:c r="I57" s="15"/>
      <x:c r="J57" s="16"/>
      <x:c r="K57" s="11"/>
      <x:c r="L57" s="11"/>
      <x:c r="M57" s="17">
        <x:f>IF(AND(B57&lt;&gt;"",$B$6&lt;&gt;""),IF(B57&lt;=$B$6+0.5,1,0),"")</x:f>
      </x:c>
      <x:c r="N57" s="17">
        <x:f>IF(AND(G57&lt;&gt;"",$E$6&lt;&gt;""),IF(G57&lt;=$E$6+0.5,1,0),"")</x:f>
      </x:c>
    </x:row>
    <x:row r="58" spans="1:20">
      <x:c r="A58" s="14">
        <x:v>46</x:v>
      </x:c>
      <x:c r="B58" s="12"/>
      <x:c r="C58" s="12"/>
      <x:c r="D58" s="15"/>
      <x:c r="E58" s="16"/>
      <x:c r="F58" s="11"/>
      <x:c r="G58" s="12"/>
      <x:c r="H58" s="12"/>
      <x:c r="I58" s="15"/>
      <x:c r="J58" s="16"/>
      <x:c r="K58" s="11"/>
      <x:c r="L58" s="11"/>
      <x:c r="M58" s="17">
        <x:f>IF(AND(B58&lt;&gt;"",$B$6&lt;&gt;""),IF(B58&lt;=$B$6+0.5,1,0),"")</x:f>
      </x:c>
      <x:c r="N58" s="17">
        <x:f>IF(AND(G58&lt;&gt;"",$E$6&lt;&gt;""),IF(G58&lt;=$E$6+0.5,1,0),"")</x:f>
      </x:c>
    </x:row>
    <x:row r="59" spans="1:20">
      <x:c r="A59" s="14">
        <x:v>47</x:v>
      </x:c>
      <x:c r="B59" s="12"/>
      <x:c r="C59" s="12"/>
      <x:c r="D59" s="15"/>
      <x:c r="E59" s="16"/>
      <x:c r="F59" s="11"/>
      <x:c r="G59" s="12"/>
      <x:c r="H59" s="12"/>
      <x:c r="I59" s="15"/>
      <x:c r="J59" s="16"/>
      <x:c r="K59" s="11"/>
      <x:c r="L59" s="11"/>
      <x:c r="M59" s="17">
        <x:f>IF(AND(B59&lt;&gt;"",$B$6&lt;&gt;""),IF(B59&lt;=$B$6+0.5,1,0),"")</x:f>
      </x:c>
      <x:c r="N59" s="17">
        <x:f>IF(AND(G59&lt;&gt;"",$E$6&lt;&gt;""),IF(G59&lt;=$E$6+0.5,1,0),"")</x:f>
      </x:c>
    </x:row>
    <x:row r="60" spans="1:20">
      <x:c r="A60" s="14">
        <x:v>48</x:v>
      </x:c>
      <x:c r="B60" s="12"/>
      <x:c r="C60" s="12"/>
      <x:c r="D60" s="15"/>
      <x:c r="E60" s="16"/>
      <x:c r="F60" s="11"/>
      <x:c r="G60" s="12"/>
      <x:c r="H60" s="12"/>
      <x:c r="I60" s="15"/>
      <x:c r="J60" s="16"/>
      <x:c r="K60" s="11"/>
      <x:c r="L60" s="11"/>
      <x:c r="M60" s="17">
        <x:f>IF(AND(B60&lt;&gt;"",$B$6&lt;&gt;""),IF(B60&lt;=$B$6+0.5,1,0),"")</x:f>
      </x:c>
      <x:c r="N60" s="17">
        <x:f>IF(AND(G60&lt;&gt;"",$E$6&lt;&gt;""),IF(G60&lt;=$E$6+0.5,1,0),"")</x:f>
      </x:c>
    </x:row>
    <x:row r="61" spans="1:20">
      <x:c r="A61" s="14">
        <x:v>49</x:v>
      </x:c>
      <x:c r="B61" s="12"/>
      <x:c r="C61" s="12"/>
      <x:c r="D61" s="15"/>
      <x:c r="E61" s="16"/>
      <x:c r="F61" s="11"/>
      <x:c r="G61" s="12"/>
      <x:c r="H61" s="12"/>
      <x:c r="I61" s="15"/>
      <x:c r="J61" s="16"/>
      <x:c r="K61" s="11"/>
      <x:c r="L61" s="11"/>
      <x:c r="M61" s="17">
        <x:f>IF(AND(B61&lt;&gt;"",$B$6&lt;&gt;""),IF(B61&lt;=$B$6+0.5,1,0),"")</x:f>
      </x:c>
      <x:c r="N61" s="17">
        <x:f>IF(AND(G61&lt;&gt;"",$E$6&lt;&gt;""),IF(G61&lt;=$E$6+0.5,1,0),"")</x:f>
      </x:c>
    </x:row>
    <x:row r="62" spans="1:20">
      <x:c r="A62" s="14">
        <x:v>50</x:v>
      </x:c>
      <x:c r="B62" s="12"/>
      <x:c r="C62" s="12"/>
      <x:c r="D62" s="15"/>
      <x:c r="E62" s="16"/>
      <x:c r="F62" s="11"/>
      <x:c r="G62" s="12"/>
      <x:c r="H62" s="12"/>
      <x:c r="I62" s="15"/>
      <x:c r="J62" s="16"/>
      <x:c r="K62" s="11"/>
      <x:c r="L62" s="11"/>
      <x:c r="M62" s="17">
        <x:f>IF(AND(B62&lt;&gt;"",$B$6&lt;&gt;""),IF(B62&lt;=$B$6+0.5,1,0),"")</x:f>
      </x:c>
      <x:c r="N62" s="17">
        <x:f>IF(AND(G62&lt;&gt;"",$E$6&lt;&gt;""),IF(G62&lt;=$E$6+0.5,1,0),"")</x:f>
      </x:c>
    </x:row>
    <x:row r="63" spans="1:20">
      <x:c r="A63" s="14">
        <x:v>51</x:v>
      </x:c>
      <x:c r="B63" s="12"/>
      <x:c r="C63" s="12"/>
      <x:c r="D63" s="15"/>
      <x:c r="E63" s="16"/>
      <x:c r="F63" s="11"/>
      <x:c r="G63" s="12"/>
      <x:c r="H63" s="12"/>
      <x:c r="I63" s="15"/>
      <x:c r="J63" s="16"/>
      <x:c r="K63" s="11"/>
      <x:c r="L63" s="11"/>
      <x:c r="M63" s="17">
        <x:f>IF(AND(B63&lt;&gt;"",$B$6&lt;&gt;""),IF(B63&lt;=$B$6+0.5,1,0),"")</x:f>
      </x:c>
      <x:c r="N63" s="17">
        <x:f>IF(AND(G63&lt;&gt;"",$E$6&lt;&gt;""),IF(G63&lt;=$E$6+0.5,1,0),"")</x:f>
      </x:c>
    </x:row>
    <x:row r="64" spans="1:20">
      <x:c r="A64" s="14">
        <x:v>52</x:v>
      </x:c>
      <x:c r="B64" s="12"/>
      <x:c r="C64" s="12"/>
      <x:c r="D64" s="15"/>
      <x:c r="E64" s="16"/>
      <x:c r="F64" s="11"/>
      <x:c r="G64" s="12"/>
      <x:c r="H64" s="12"/>
      <x:c r="I64" s="15"/>
      <x:c r="J64" s="16"/>
      <x:c r="K64" s="11"/>
      <x:c r="L64" s="11"/>
      <x:c r="M64" s="17">
        <x:f>IF(AND(B64&lt;&gt;"",$B$6&lt;&gt;""),IF(B64&lt;=$B$6+0.5,1,0),"")</x:f>
      </x:c>
      <x:c r="N64" s="17">
        <x:f>IF(AND(G64&lt;&gt;"",$E$6&lt;&gt;""),IF(G64&lt;=$E$6+0.5,1,0),"")</x:f>
      </x:c>
    </x:row>
    <x:row r="65" spans="1:20">
      <x:c r="A65" s="14">
        <x:v>53</x:v>
      </x:c>
      <x:c r="B65" s="12"/>
      <x:c r="C65" s="12"/>
      <x:c r="D65" s="15"/>
      <x:c r="E65" s="16"/>
      <x:c r="F65" s="11"/>
      <x:c r="G65" s="12"/>
      <x:c r="H65" s="12"/>
      <x:c r="I65" s="15"/>
      <x:c r="J65" s="16"/>
      <x:c r="K65" s="11"/>
      <x:c r="L65" s="11"/>
      <x:c r="M65" s="17">
        <x:f>IF(AND(B65&lt;&gt;"",$B$6&lt;&gt;""),IF(B65&lt;=$B$6+0.5,1,0),"")</x:f>
      </x:c>
      <x:c r="N65" s="17">
        <x:f>IF(AND(G65&lt;&gt;"",$E$6&lt;&gt;""),IF(G65&lt;=$E$6+0.5,1,0),"")</x:f>
      </x:c>
    </x:row>
    <x:row r="66" spans="1:20">
      <x:c r="A66" s="14">
        <x:v>54</x:v>
      </x:c>
      <x:c r="B66" s="12"/>
      <x:c r="C66" s="12"/>
      <x:c r="D66" s="15"/>
      <x:c r="E66" s="16"/>
      <x:c r="F66" s="11"/>
      <x:c r="G66" s="12"/>
      <x:c r="H66" s="12"/>
      <x:c r="I66" s="15"/>
      <x:c r="J66" s="16"/>
      <x:c r="K66" s="11"/>
      <x:c r="L66" s="11"/>
      <x:c r="M66" s="17">
        <x:f>IF(AND(B66&lt;&gt;"",$B$6&lt;&gt;""),IF(B66&lt;=$B$6+0.5,1,0),"")</x:f>
      </x:c>
      <x:c r="N66" s="17">
        <x:f>IF(AND(G66&lt;&gt;"",$E$6&lt;&gt;""),IF(G66&lt;=$E$6+0.5,1,0),"")</x:f>
      </x:c>
    </x:row>
    <x:row r="67" spans="1:20">
      <x:c r="A67" s="14">
        <x:v>55</x:v>
      </x:c>
      <x:c r="B67" s="12"/>
      <x:c r="C67" s="12"/>
      <x:c r="D67" s="15"/>
      <x:c r="E67" s="16"/>
      <x:c r="F67" s="11"/>
      <x:c r="G67" s="12"/>
      <x:c r="H67" s="12"/>
      <x:c r="I67" s="15"/>
      <x:c r="J67" s="16"/>
      <x:c r="K67" s="11"/>
      <x:c r="L67" s="11"/>
      <x:c r="M67" s="17">
        <x:f>IF(AND(B67&lt;&gt;"",$B$6&lt;&gt;""),IF(B67&lt;=$B$6+0.5,1,0),"")</x:f>
      </x:c>
      <x:c r="N67" s="17">
        <x:f>IF(AND(G67&lt;&gt;"",$E$6&lt;&gt;""),IF(G67&lt;=$E$6+0.5,1,0),"")</x:f>
      </x:c>
    </x:row>
    <x:row r="68" spans="1:20">
      <x:c r="A68" s="14">
        <x:v>56</x:v>
      </x:c>
      <x:c r="B68" s="12"/>
      <x:c r="C68" s="12"/>
      <x:c r="D68" s="15"/>
      <x:c r="E68" s="16"/>
      <x:c r="F68" s="11"/>
      <x:c r="G68" s="12"/>
      <x:c r="H68" s="12"/>
      <x:c r="I68" s="15"/>
      <x:c r="J68" s="16"/>
      <x:c r="K68" s="11"/>
      <x:c r="L68" s="11"/>
      <x:c r="M68" s="17">
        <x:f>IF(AND(B68&lt;&gt;"",$B$6&lt;&gt;""),IF(B68&lt;=$B$6+0.5,1,0),"")</x:f>
      </x:c>
      <x:c r="N68" s="17">
        <x:f>IF(AND(G68&lt;&gt;"",$E$6&lt;&gt;""),IF(G68&lt;=$E$6+0.5,1,0),"")</x:f>
      </x:c>
    </x:row>
    <x:row r="69" spans="1:20">
      <x:c r="A69" s="14">
        <x:v>57</x:v>
      </x:c>
      <x:c r="B69" s="12"/>
      <x:c r="C69" s="12"/>
      <x:c r="D69" s="15"/>
      <x:c r="E69" s="16"/>
      <x:c r="F69" s="11"/>
      <x:c r="G69" s="12"/>
      <x:c r="H69" s="12"/>
      <x:c r="I69" s="15"/>
      <x:c r="J69" s="16"/>
      <x:c r="K69" s="11"/>
      <x:c r="L69" s="11"/>
      <x:c r="M69" s="17">
        <x:f>IF(AND(B69&lt;&gt;"",$B$6&lt;&gt;""),IF(B69&lt;=$B$6+0.5,1,0),"")</x:f>
      </x:c>
      <x:c r="N69" s="17">
        <x:f>IF(AND(G69&lt;&gt;"",$E$6&lt;&gt;""),IF(G69&lt;=$E$6+0.5,1,0),"")</x:f>
      </x:c>
    </x:row>
    <x:row r="70" spans="1:20">
      <x:c r="A70" s="14">
        <x:v>58</x:v>
      </x:c>
      <x:c r="B70" s="12"/>
      <x:c r="C70" s="12"/>
      <x:c r="D70" s="15"/>
      <x:c r="E70" s="16"/>
      <x:c r="F70" s="11"/>
      <x:c r="G70" s="12"/>
      <x:c r="H70" s="12"/>
      <x:c r="I70" s="15"/>
      <x:c r="J70" s="16"/>
      <x:c r="K70" s="11"/>
      <x:c r="L70" s="11"/>
      <x:c r="M70" s="17">
        <x:f>IF(AND(B70&lt;&gt;"",$B$6&lt;&gt;""),IF(B70&lt;=$B$6+0.5,1,0),"")</x:f>
      </x:c>
      <x:c r="N70" s="17">
        <x:f>IF(AND(G70&lt;&gt;"",$E$6&lt;&gt;""),IF(G70&lt;=$E$6+0.5,1,0),"")</x:f>
      </x:c>
    </x:row>
    <x:row r="71" spans="1:20">
      <x:c r="A71" s="14">
        <x:v>59</x:v>
      </x:c>
      <x:c r="B71" s="12"/>
      <x:c r="C71" s="12"/>
      <x:c r="D71" s="15"/>
      <x:c r="E71" s="16"/>
      <x:c r="F71" s="11"/>
      <x:c r="G71" s="12"/>
      <x:c r="H71" s="12"/>
      <x:c r="I71" s="15"/>
      <x:c r="J71" s="16"/>
      <x:c r="K71" s="11"/>
      <x:c r="L71" s="11"/>
      <x:c r="M71" s="17">
        <x:f>IF(AND(B71&lt;&gt;"",$B$6&lt;&gt;""),IF(B71&lt;=$B$6+0.5,1,0),"")</x:f>
      </x:c>
      <x:c r="N71" s="17">
        <x:f>IF(AND(G71&lt;&gt;"",$E$6&lt;&gt;""),IF(G71&lt;=$E$6+0.5,1,0),"")</x:f>
      </x:c>
    </x:row>
    <x:row r="72" spans="1:20">
      <x:c r="A72" s="14">
        <x:v>60</x:v>
      </x:c>
      <x:c r="B72" s="12"/>
      <x:c r="C72" s="12"/>
      <x:c r="D72" s="15"/>
      <x:c r="E72" s="16"/>
      <x:c r="F72" s="11"/>
      <x:c r="G72" s="12"/>
      <x:c r="H72" s="12"/>
      <x:c r="I72" s="15"/>
      <x:c r="J72" s="16"/>
      <x:c r="K72" s="11"/>
      <x:c r="L72" s="11"/>
      <x:c r="M72" s="17">
        <x:f>IF(AND(B72&lt;&gt;"",$B$6&lt;&gt;""),IF(B72&lt;=$B$6+0.5,1,0),"")</x:f>
      </x:c>
      <x:c r="N72" s="17">
        <x:f>IF(AND(G72&lt;&gt;"",$E$6&lt;&gt;""),IF(G72&lt;=$E$6+0.5,1,0),"")</x:f>
      </x:c>
    </x:row>
  </x:sheetData>
  <x:mergeCells count="12">
    <x:mergeCell ref="B4:C4"/>
    <x:mergeCell ref="E4:F4"/>
    <x:mergeCell ref="B5:C5"/>
    <x:mergeCell ref="E5:F5"/>
    <x:mergeCell ref="B6:C6"/>
    <x:mergeCell ref="E6:F6"/>
    <x:mergeCell ref="B7:C7"/>
    <x:mergeCell ref="E7:F7"/>
    <x:mergeCell ref="B8:C8"/>
    <x:mergeCell ref="E8:F8"/>
    <x:mergeCell ref="B9:C9"/>
    <x:mergeCell ref="E9:F9"/>
  </x:mergeCells>
  <x:dataValidations count="1">
    <x:dataValidation type="list" errorStyle="stop" operator="between" allowBlank="1" showDropDown="0" showInputMessage="1" showErrorMessage="1" errorTitle="" error="" promptTitle="" prompt="" sqref="B7:B7">
      <x:formula1>"尽快,按速率,按时长"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6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72"/>
  <x:sheetViews>
    <x:sheetView workbookViewId="0">
      <x:pane xSplit="1" ySplit="11" topLeftCell="B12" activePane="bottomRight" state="frozenSplit"/>
    </x:sheetView>
  </x:sheetViews>
  <x:sheetFormatPr defaultRowHeight="15"/>
  <x:cols>
    <x:col min="1" max="1" width="10.710625" style="0" customWidth="1"/>
    <x:col min="2" max="2" width="11.710625" style="0" customWidth="1"/>
    <x:col min="3" max="4" width="10.710625" style="0" customWidth="1"/>
    <x:col min="5" max="5" width="11.710625" style="0" customWidth="1"/>
    <x:col min="6" max="6" width="9.710625" style="0" customWidth="1"/>
    <x:col min="7" max="7" width="11.710625" style="0" customWidth="1"/>
    <x:col min="8" max="9" width="10.710625" style="0" customWidth="1"/>
    <x:col min="10" max="10" width="11.710625" style="0" customWidth="1"/>
    <x:col min="11" max="11" width="9.710625" style="0" customWidth="1"/>
    <x:col min="12" max="12" width="22.710625" style="0" customWidth="1"/>
    <x:col min="13" max="14" width="10.710625" style="0" customWidth="1"/>
    <x:col min="15" max="15" width="9.140625" style="0" customWidth="1"/>
    <x:col min="16" max="16" width="36.710625" style="0" customWidth="1"/>
    <x:col min="17" max="17" width="14.710625" style="0" customWidth="1"/>
    <x:col min="18" max="20" width="9.140625" style="0" customWidth="1"/>
  </x:cols>
  <x:sheetData>
    <x:row r="1" spans="1:20">
      <x:c r="A1" s="1" t="s">
        <x:v>67</x:v>
      </x:c>
    </x:row>
    <x:row r="2" spans="1:20">
      <x:c r="A2" s="2" t="s">
        <x:v>24</x:v>
      </x:c>
    </x:row>
    <x:row r="4" spans="1:20">
      <x:c r="A4" s="8" t="s">
        <x:v>25</x:v>
      </x:c>
      <x:c r="B4" s="9"/>
      <x:c r="C4" s="10"/>
      <x:c r="D4" s="8" t="s">
        <x:v>26</x:v>
      </x:c>
      <x:c r="E4" s="11"/>
      <x:c r="F4" s="10"/>
    </x:row>
    <x:row r="5" spans="1:20">
      <x:c r="A5" s="8" t="s">
        <x:v>27</x:v>
      </x:c>
      <x:c r="B5" s="12"/>
      <x:c r="C5" s="10"/>
      <x:c r="D5" s="8" t="s">
        <x:v>28</x:v>
      </x:c>
      <x:c r="E5" s="12"/>
      <x:c r="F5" s="10"/>
    </x:row>
    <x:row r="6" spans="1:20">
      <x:c r="A6" s="8" t="s">
        <x:v>29</x:v>
      </x:c>
      <x:c r="B6" s="12"/>
      <x:c r="C6" s="10"/>
      <x:c r="D6" s="8" t="s">
        <x:v>30</x:v>
      </x:c>
      <x:c r="E6" s="12"/>
      <x:c r="F6" s="10"/>
    </x:row>
    <x:row r="7" spans="1:20">
      <x:c r="A7" s="8" t="s">
        <x:v>31</x:v>
      </x:c>
      <x:c r="B7" s="11" t="s">
        <x:v>32</x:v>
      </x:c>
      <x:c r="C7" s="10"/>
      <x:c r="D7" s="8" t="s">
        <x:v>33</x:v>
      </x:c>
      <x:c r="E7" s="12"/>
      <x:c r="F7" s="10"/>
    </x:row>
    <x:row r="8" spans="1:20">
      <x:c r="A8" s="8" t="s">
        <x:v>34</x:v>
      </x:c>
      <x:c r="B8" s="12"/>
      <x:c r="C8" s="10"/>
      <x:c r="D8" s="8" t="s">
        <x:v>35</x:v>
      </x:c>
      <x:c r="E8" s="11"/>
      <x:c r="F8" s="10"/>
    </x:row>
    <x:row r="9" spans="1:20">
      <x:c r="A9" s="8" t="s">
        <x:v>36</x:v>
      </x:c>
      <x:c r="B9" s="11"/>
      <x:c r="C9" s="10"/>
      <x:c r="D9" s="8" t="s">
        <x:v>37</x:v>
      </x:c>
      <x:c r="E9" s="11"/>
      <x:c r="F9" s="10"/>
    </x:row>
    <x:row r="11" spans="1:20">
      <x:c r="A11" s="13" t="s">
        <x:v>38</x:v>
      </x:c>
      <x:c r="B11" s="13" t="s">
        <x:v>39</x:v>
      </x:c>
      <x:c r="C11" s="13" t="s">
        <x:v>40</x:v>
      </x:c>
      <x:c r="D11" s="13" t="s">
        <x:v>41</x:v>
      </x:c>
      <x:c r="E11" s="13" t="s">
        <x:v>42</x:v>
      </x:c>
      <x:c r="F11" s="13" t="s">
        <x:v>43</x:v>
      </x:c>
      <x:c r="G11" s="13" t="s">
        <x:v>44</x:v>
      </x:c>
      <x:c r="H11" s="13" t="s">
        <x:v>45</x:v>
      </x:c>
      <x:c r="I11" s="13" t="s">
        <x:v>46</x:v>
      </x:c>
      <x:c r="J11" s="13" t="s">
        <x:v>47</x:v>
      </x:c>
      <x:c r="K11" s="13" t="s">
        <x:v>48</x:v>
      </x:c>
      <x:c r="L11" s="13" t="s">
        <x:v>37</x:v>
      </x:c>
      <x:c r="M11" s="13" t="s">
        <x:v>49</x:v>
      </x:c>
      <x:c r="N11" s="13" t="s">
        <x:v>50</x:v>
      </x:c>
      <x:c r="P11" s="13" t="s">
        <x:v>51</x:v>
      </x:c>
      <x:c r="Q11" s="13" t="s">
        <x:v>52</x:v>
      </x:c>
    </x:row>
    <x:row r="12" spans="1:20">
      <x:c r="A12" s="14">
        <x:v>0</x:v>
      </x:c>
      <x:c r="B12" s="12"/>
      <x:c r="C12" s="12"/>
      <x:c r="D12" s="15"/>
      <x:c r="E12" s="16"/>
      <x:c r="F12" s="11"/>
      <x:c r="G12" s="12"/>
      <x:c r="H12" s="12"/>
      <x:c r="I12" s="15"/>
      <x:c r="J12" s="16"/>
      <x:c r="K12" s="11"/>
      <x:c r="L12" s="11"/>
      <x:c r="M12" s="17">
        <x:f>IF(AND(B12&lt;&gt;"",$B$6&lt;&gt;""),IF(B12&lt;=$B$6+0.5,1,0),"")</x:f>
      </x:c>
      <x:c r="N12" s="17">
        <x:f>IF(AND(G12&lt;&gt;"",$E$6&lt;&gt;""),IF(G12&lt;=$E$6+0.5,1,0),"")</x:f>
      </x:c>
      <x:c r="P12" s="8" t="s">
        <x:v>53</x:v>
      </x:c>
      <x:c r="Q12" s="18">
        <x:f>IF(COUNT(B12:B72)=0,"",MIN(B12:B72))</x:f>
      </x:c>
    </x:row>
    <x:row r="13" spans="1:20">
      <x:c r="A13" s="14">
        <x:v>1</x:v>
      </x:c>
      <x:c r="B13" s="12"/>
      <x:c r="C13" s="12"/>
      <x:c r="D13" s="15"/>
      <x:c r="E13" s="16"/>
      <x:c r="F13" s="11"/>
      <x:c r="G13" s="12"/>
      <x:c r="H13" s="12"/>
      <x:c r="I13" s="15"/>
      <x:c r="J13" s="16"/>
      <x:c r="K13" s="11"/>
      <x:c r="L13" s="11"/>
      <x:c r="M13" s="17">
        <x:f>IF(AND(B13&lt;&gt;"",$B$6&lt;&gt;""),IF(B13&lt;=$B$6+0.5,1,0),"")</x:f>
      </x:c>
      <x:c r="N13" s="17">
        <x:f>IF(AND(G13&lt;&gt;"",$E$6&lt;&gt;""),IF(G13&lt;=$E$6+0.5,1,0),"")</x:f>
      </x:c>
      <x:c r="P13" s="8" t="s">
        <x:v>54</x:v>
      </x:c>
      <x:c r="Q13" s="17">
        <x:f>IFERROR(INDEX($A$12:$A$72,MATCH(1,M12:M72,0)),"未到")</x:f>
      </x:c>
    </x:row>
    <x:row r="14" spans="1:20">
      <x:c r="A14" s="14">
        <x:v>2</x:v>
      </x:c>
      <x:c r="B14" s="12"/>
      <x:c r="C14" s="12"/>
      <x:c r="D14" s="15"/>
      <x:c r="E14" s="16"/>
      <x:c r="F14" s="11"/>
      <x:c r="G14" s="12"/>
      <x:c r="H14" s="12"/>
      <x:c r="I14" s="15"/>
      <x:c r="J14" s="16"/>
      <x:c r="K14" s="11"/>
      <x:c r="L14" s="11"/>
      <x:c r="M14" s="17">
        <x:f>IF(AND(B14&lt;&gt;"",$B$6&lt;&gt;""),IF(B14&lt;=$B$6+0.5,1,0),"")</x:f>
      </x:c>
      <x:c r="N14" s="17">
        <x:f>IF(AND(G14&lt;&gt;"",$E$6&lt;&gt;""),IF(G14&lt;=$E$6+0.5,1,0),"")</x:f>
      </x:c>
      <x:c r="P14" s="8" t="s">
        <x:v>55</x:v>
      </x:c>
      <x:c r="Q14" s="18">
        <x:f>IF(OR($Q$12="",$B$6=""),"",$Q$12-$B$6)</x:f>
      </x:c>
    </x:row>
    <x:row r="15" spans="1:20">
      <x:c r="A15" s="14">
        <x:v>3</x:v>
      </x:c>
      <x:c r="B15" s="12"/>
      <x:c r="C15" s="12"/>
      <x:c r="D15" s="15"/>
      <x:c r="E15" s="16"/>
      <x:c r="F15" s="11"/>
      <x:c r="G15" s="12"/>
      <x:c r="H15" s="12"/>
      <x:c r="I15" s="15"/>
      <x:c r="J15" s="16"/>
      <x:c r="K15" s="11"/>
      <x:c r="L15" s="11"/>
      <x:c r="M15" s="17">
        <x:f>IF(AND(B15&lt;&gt;"",$B$6&lt;&gt;""),IF(B15&lt;=$B$6+0.5,1,0),"")</x:f>
      </x:c>
      <x:c r="N15" s="17">
        <x:f>IF(AND(G15&lt;&gt;"",$E$6&lt;&gt;""),IF(G15&lt;=$E$6+0.5,1,0),"")</x:f>
      </x:c>
      <x:c r="P15" s="8" t="s">
        <x:v>56</x:v>
      </x:c>
      <x:c r="Q15" s="19">
        <x:f>IF(OR(B12="",B22="",A22=A12),"",(B12-B22)/(A22-A12))</x:f>
      </x:c>
    </x:row>
    <x:row r="16" spans="1:20">
      <x:c r="A16" s="14">
        <x:v>4</x:v>
      </x:c>
      <x:c r="B16" s="12"/>
      <x:c r="C16" s="12"/>
      <x:c r="D16" s="15"/>
      <x:c r="E16" s="16"/>
      <x:c r="F16" s="11"/>
      <x:c r="G16" s="12"/>
      <x:c r="H16" s="12"/>
      <x:c r="I16" s="15"/>
      <x:c r="J16" s="16"/>
      <x:c r="K16" s="11"/>
      <x:c r="L16" s="11"/>
      <x:c r="M16" s="17">
        <x:f>IF(AND(B16&lt;&gt;"",$B$6&lt;&gt;""),IF(B16&lt;=$B$6+0.5,1,0),"")</x:f>
      </x:c>
      <x:c r="N16" s="17">
        <x:f>IF(AND(G16&lt;&gt;"",$E$6&lt;&gt;""),IF(G16&lt;=$E$6+0.5,1,0),"")</x:f>
      </x:c>
      <x:c r="P16" s="8" t="s">
        <x:v>57</x:v>
      </x:c>
      <x:c r="Q16" s="18">
        <x:f>IF(COUNT(C12:C72)=0,"",AVERAGE(C12:C72))</x:f>
      </x:c>
    </x:row>
    <x:row r="17" spans="1:20">
      <x:c r="A17" s="14">
        <x:v>5</x:v>
      </x:c>
      <x:c r="B17" s="12"/>
      <x:c r="C17" s="12"/>
      <x:c r="D17" s="15"/>
      <x:c r="E17" s="16"/>
      <x:c r="F17" s="11"/>
      <x:c r="G17" s="12"/>
      <x:c r="H17" s="12"/>
      <x:c r="I17" s="15"/>
      <x:c r="J17" s="16"/>
      <x:c r="K17" s="11"/>
      <x:c r="L17" s="11"/>
      <x:c r="M17" s="17">
        <x:f>IF(AND(B17&lt;&gt;"",$B$6&lt;&gt;""),IF(B17&lt;=$B$6+0.5,1,0),"")</x:f>
      </x:c>
      <x:c r="N17" s="17">
        <x:f>IF(AND(G17&lt;&gt;"",$E$6&lt;&gt;""),IF(G17&lt;=$E$6+0.5,1,0),"")</x:f>
      </x:c>
      <x:c r="P17" s="8" t="s">
        <x:v>58</x:v>
      </x:c>
      <x:c r="Q17" s="20">
        <x:f>IF(COUNT(D12:D72)=0,"",MAX(D12:D72))</x:f>
      </x:c>
    </x:row>
    <x:row r="18" spans="1:20">
      <x:c r="A18" s="14">
        <x:v>6</x:v>
      </x:c>
      <x:c r="B18" s="12"/>
      <x:c r="C18" s="12"/>
      <x:c r="D18" s="15"/>
      <x:c r="E18" s="16"/>
      <x:c r="F18" s="11"/>
      <x:c r="G18" s="12"/>
      <x:c r="H18" s="12"/>
      <x:c r="I18" s="15"/>
      <x:c r="J18" s="16"/>
      <x:c r="K18" s="11"/>
      <x:c r="L18" s="11"/>
      <x:c r="M18" s="17">
        <x:f>IF(AND(B18&lt;&gt;"",$B$6&lt;&gt;""),IF(B18&lt;=$B$6+0.5,1,0),"")</x:f>
      </x:c>
      <x:c r="N18" s="17">
        <x:f>IF(AND(G18&lt;&gt;"",$E$6&lt;&gt;""),IF(G18&lt;=$E$6+0.5,1,0),"")</x:f>
      </x:c>
      <x:c r="P18" s="8" t="s">
        <x:v>59</x:v>
      </x:c>
      <x:c r="Q18" s="19">
        <x:f>IF(COUNT(E12:E72)=0,"",MIN(E12:E72))</x:f>
      </x:c>
    </x:row>
    <x:row r="19" spans="1:20">
      <x:c r="A19" s="14">
        <x:v>7</x:v>
      </x:c>
      <x:c r="B19" s="12"/>
      <x:c r="C19" s="12"/>
      <x:c r="D19" s="15"/>
      <x:c r="E19" s="16"/>
      <x:c r="F19" s="11"/>
      <x:c r="G19" s="12"/>
      <x:c r="H19" s="12"/>
      <x:c r="I19" s="15"/>
      <x:c r="J19" s="16"/>
      <x:c r="K19" s="11"/>
      <x:c r="L19" s="11"/>
      <x:c r="M19" s="17">
        <x:f>IF(AND(B19&lt;&gt;"",$B$6&lt;&gt;""),IF(B19&lt;=$B$6+0.5,1,0),"")</x:f>
      </x:c>
      <x:c r="N19" s="17">
        <x:f>IF(AND(G19&lt;&gt;"",$E$6&lt;&gt;""),IF(G19&lt;=$E$6+0.5,1,0),"")</x:f>
      </x:c>
    </x:row>
    <x:row r="20" spans="1:20">
      <x:c r="A20" s="14">
        <x:v>8</x:v>
      </x:c>
      <x:c r="B20" s="12"/>
      <x:c r="C20" s="12"/>
      <x:c r="D20" s="15"/>
      <x:c r="E20" s="16"/>
      <x:c r="F20" s="11"/>
      <x:c r="G20" s="12"/>
      <x:c r="H20" s="12"/>
      <x:c r="I20" s="15"/>
      <x:c r="J20" s="16"/>
      <x:c r="K20" s="11"/>
      <x:c r="L20" s="11"/>
      <x:c r="M20" s="17">
        <x:f>IF(AND(B20&lt;&gt;"",$B$6&lt;&gt;""),IF(B20&lt;=$B$6+0.5,1,0),"")</x:f>
      </x:c>
      <x:c r="N20" s="17">
        <x:f>IF(AND(G20&lt;&gt;"",$E$6&lt;&gt;""),IF(G20&lt;=$E$6+0.5,1,0),"")</x:f>
      </x:c>
      <x:c r="P20" s="8" t="s">
        <x:v>60</x:v>
      </x:c>
      <x:c r="Q20" s="18">
        <x:f>IF(COUNT(G12:G72)=0,"",MIN(G12:G72))</x:f>
      </x:c>
    </x:row>
    <x:row r="21" spans="1:20">
      <x:c r="A21" s="14">
        <x:v>9</x:v>
      </x:c>
      <x:c r="B21" s="12"/>
      <x:c r="C21" s="12"/>
      <x:c r="D21" s="15"/>
      <x:c r="E21" s="16"/>
      <x:c r="F21" s="11"/>
      <x:c r="G21" s="12"/>
      <x:c r="H21" s="12"/>
      <x:c r="I21" s="15"/>
      <x:c r="J21" s="16"/>
      <x:c r="K21" s="11"/>
      <x:c r="L21" s="11"/>
      <x:c r="M21" s="17">
        <x:f>IF(AND(B21&lt;&gt;"",$B$6&lt;&gt;""),IF(B21&lt;=$B$6+0.5,1,0),"")</x:f>
      </x:c>
      <x:c r="N21" s="17">
        <x:f>IF(AND(G21&lt;&gt;"",$E$6&lt;&gt;""),IF(G21&lt;=$E$6+0.5,1,0),"")</x:f>
      </x:c>
      <x:c r="P21" s="8" t="s">
        <x:v>61</x:v>
      </x:c>
      <x:c r="Q21" s="17">
        <x:f>IFERROR(INDEX($A$12:$A$72,MATCH(1,N12:N72,0)),"未到")</x:f>
      </x:c>
    </x:row>
    <x:row r="22" spans="1:20">
      <x:c r="A22" s="14">
        <x:v>10</x:v>
      </x:c>
      <x:c r="B22" s="12"/>
      <x:c r="C22" s="12"/>
      <x:c r="D22" s="15"/>
      <x:c r="E22" s="16"/>
      <x:c r="F22" s="11"/>
      <x:c r="G22" s="12"/>
      <x:c r="H22" s="12"/>
      <x:c r="I22" s="15"/>
      <x:c r="J22" s="16"/>
      <x:c r="K22" s="11"/>
      <x:c r="L22" s="11"/>
      <x:c r="M22" s="17">
        <x:f>IF(AND(B22&lt;&gt;"",$B$6&lt;&gt;""),IF(B22&lt;=$B$6+0.5,1,0),"")</x:f>
      </x:c>
      <x:c r="N22" s="17">
        <x:f>IF(AND(G22&lt;&gt;"",$E$6&lt;&gt;""),IF(G22&lt;=$E$6+0.5,1,0),"")</x:f>
      </x:c>
      <x:c r="P22" s="8" t="s">
        <x:v>62</x:v>
      </x:c>
      <x:c r="Q22" s="18">
        <x:f>IF(OR($Q$20="",$E$6=""),"",$Q$20-$E$6)</x:f>
      </x:c>
    </x:row>
    <x:row r="23" spans="1:20">
      <x:c r="A23" s="14">
        <x:v>11</x:v>
      </x:c>
      <x:c r="B23" s="12"/>
      <x:c r="C23" s="12"/>
      <x:c r="D23" s="15"/>
      <x:c r="E23" s="16"/>
      <x:c r="F23" s="11"/>
      <x:c r="G23" s="12"/>
      <x:c r="H23" s="12"/>
      <x:c r="I23" s="15"/>
      <x:c r="J23" s="16"/>
      <x:c r="K23" s="11"/>
      <x:c r="L23" s="11"/>
      <x:c r="M23" s="17">
        <x:f>IF(AND(B23&lt;&gt;"",$B$6&lt;&gt;""),IF(B23&lt;=$B$6+0.5,1,0),"")</x:f>
      </x:c>
      <x:c r="N23" s="17">
        <x:f>IF(AND(G23&lt;&gt;"",$E$6&lt;&gt;""),IF(G23&lt;=$E$6+0.5,1,0),"")</x:f>
      </x:c>
      <x:c r="P23" s="8" t="s">
        <x:v>63</x:v>
      </x:c>
      <x:c r="Q23" s="19">
        <x:f>IF(OR(G12="",G22="",A22=A12),"",(G12-G22)/(A22-A12))</x:f>
      </x:c>
    </x:row>
    <x:row r="24" spans="1:20">
      <x:c r="A24" s="14">
        <x:v>12</x:v>
      </x:c>
      <x:c r="B24" s="12"/>
      <x:c r="C24" s="12"/>
      <x:c r="D24" s="15"/>
      <x:c r="E24" s="16"/>
      <x:c r="F24" s="11"/>
      <x:c r="G24" s="12"/>
      <x:c r="H24" s="12"/>
      <x:c r="I24" s="15"/>
      <x:c r="J24" s="16"/>
      <x:c r="K24" s="11"/>
      <x:c r="L24" s="11"/>
      <x:c r="M24" s="17">
        <x:f>IF(AND(B24&lt;&gt;"",$B$6&lt;&gt;""),IF(B24&lt;=$B$6+0.5,1,0),"")</x:f>
      </x:c>
      <x:c r="N24" s="17">
        <x:f>IF(AND(G24&lt;&gt;"",$E$6&lt;&gt;""),IF(G24&lt;=$E$6+0.5,1,0),"")</x:f>
      </x:c>
      <x:c r="P24" s="8" t="s">
        <x:v>64</x:v>
      </x:c>
      <x:c r="Q24" s="18">
        <x:f>IF(COUNT(H12:H72)=0,"",AVERAGE(H12:H72))</x:f>
      </x:c>
    </x:row>
    <x:row r="25" spans="1:20">
      <x:c r="A25" s="14">
        <x:v>13</x:v>
      </x:c>
      <x:c r="B25" s="12"/>
      <x:c r="C25" s="12"/>
      <x:c r="D25" s="15"/>
      <x:c r="E25" s="16"/>
      <x:c r="F25" s="11"/>
      <x:c r="G25" s="12"/>
      <x:c r="H25" s="12"/>
      <x:c r="I25" s="15"/>
      <x:c r="J25" s="16"/>
      <x:c r="K25" s="11"/>
      <x:c r="L25" s="11"/>
      <x:c r="M25" s="17">
        <x:f>IF(AND(B25&lt;&gt;"",$B$6&lt;&gt;""),IF(B25&lt;=$B$6+0.5,1,0),"")</x:f>
      </x:c>
      <x:c r="N25" s="17">
        <x:f>IF(AND(G25&lt;&gt;"",$E$6&lt;&gt;""),IF(G25&lt;=$E$6+0.5,1,0),"")</x:f>
      </x:c>
      <x:c r="P25" s="8" t="s">
        <x:v>65</x:v>
      </x:c>
      <x:c r="Q25" s="20">
        <x:f>IF(COUNT(I12:I72)=0,"",MAX(I12:I72))</x:f>
      </x:c>
    </x:row>
    <x:row r="26" spans="1:20">
      <x:c r="A26" s="14">
        <x:v>14</x:v>
      </x:c>
      <x:c r="B26" s="12"/>
      <x:c r="C26" s="12"/>
      <x:c r="D26" s="15"/>
      <x:c r="E26" s="16"/>
      <x:c r="F26" s="11"/>
      <x:c r="G26" s="12"/>
      <x:c r="H26" s="12"/>
      <x:c r="I26" s="15"/>
      <x:c r="J26" s="16"/>
      <x:c r="K26" s="11"/>
      <x:c r="L26" s="11"/>
      <x:c r="M26" s="17">
        <x:f>IF(AND(B26&lt;&gt;"",$B$6&lt;&gt;""),IF(B26&lt;=$B$6+0.5,1,0),"")</x:f>
      </x:c>
      <x:c r="N26" s="17">
        <x:f>IF(AND(G26&lt;&gt;"",$E$6&lt;&gt;""),IF(G26&lt;=$E$6+0.5,1,0),"")</x:f>
      </x:c>
      <x:c r="P26" s="8" t="s">
        <x:v>66</x:v>
      </x:c>
      <x:c r="Q26" s="19">
        <x:f>IF(COUNT(J12:J72)=0,"",MIN(J12:J72))</x:f>
      </x:c>
    </x:row>
    <x:row r="27" spans="1:20">
      <x:c r="A27" s="14">
        <x:v>15</x:v>
      </x:c>
      <x:c r="B27" s="12"/>
      <x:c r="C27" s="12"/>
      <x:c r="D27" s="15"/>
      <x:c r="E27" s="16"/>
      <x:c r="F27" s="11"/>
      <x:c r="G27" s="12"/>
      <x:c r="H27" s="12"/>
      <x:c r="I27" s="15"/>
      <x:c r="J27" s="16"/>
      <x:c r="K27" s="11"/>
      <x:c r="L27" s="11"/>
      <x:c r="M27" s="17">
        <x:f>IF(AND(B27&lt;&gt;"",$B$6&lt;&gt;""),IF(B27&lt;=$B$6+0.5,1,0),"")</x:f>
      </x:c>
      <x:c r="N27" s="17">
        <x:f>IF(AND(G27&lt;&gt;"",$E$6&lt;&gt;""),IF(G27&lt;=$E$6+0.5,1,0),"")</x:f>
      </x:c>
    </x:row>
    <x:row r="28" spans="1:20">
      <x:c r="A28" s="14">
        <x:v>16</x:v>
      </x:c>
      <x:c r="B28" s="12"/>
      <x:c r="C28" s="12"/>
      <x:c r="D28" s="15"/>
      <x:c r="E28" s="16"/>
      <x:c r="F28" s="11"/>
      <x:c r="G28" s="12"/>
      <x:c r="H28" s="12"/>
      <x:c r="I28" s="15"/>
      <x:c r="J28" s="16"/>
      <x:c r="K28" s="11"/>
      <x:c r="L28" s="11"/>
      <x:c r="M28" s="17">
        <x:f>IF(AND(B28&lt;&gt;"",$B$6&lt;&gt;""),IF(B28&lt;=$B$6+0.5,1,0),"")</x:f>
      </x:c>
      <x:c r="N28" s="17">
        <x:f>IF(AND(G28&lt;&gt;"",$E$6&lt;&gt;""),IF(G28&lt;=$E$6+0.5,1,0),"")</x:f>
      </x:c>
    </x:row>
    <x:row r="29" spans="1:20">
      <x:c r="A29" s="14">
        <x:v>17</x:v>
      </x:c>
      <x:c r="B29" s="12"/>
      <x:c r="C29" s="12"/>
      <x:c r="D29" s="15"/>
      <x:c r="E29" s="16"/>
      <x:c r="F29" s="11"/>
      <x:c r="G29" s="12"/>
      <x:c r="H29" s="12"/>
      <x:c r="I29" s="15"/>
      <x:c r="J29" s="16"/>
      <x:c r="K29" s="11"/>
      <x:c r="L29" s="11"/>
      <x:c r="M29" s="17">
        <x:f>IF(AND(B29&lt;&gt;"",$B$6&lt;&gt;""),IF(B29&lt;=$B$6+0.5,1,0),"")</x:f>
      </x:c>
      <x:c r="N29" s="17">
        <x:f>IF(AND(G29&lt;&gt;"",$E$6&lt;&gt;""),IF(G29&lt;=$E$6+0.5,1,0),"")</x:f>
      </x:c>
    </x:row>
    <x:row r="30" spans="1:20">
      <x:c r="A30" s="14">
        <x:v>18</x:v>
      </x:c>
      <x:c r="B30" s="12"/>
      <x:c r="C30" s="12"/>
      <x:c r="D30" s="15"/>
      <x:c r="E30" s="16"/>
      <x:c r="F30" s="11"/>
      <x:c r="G30" s="12"/>
      <x:c r="H30" s="12"/>
      <x:c r="I30" s="15"/>
      <x:c r="J30" s="16"/>
      <x:c r="K30" s="11"/>
      <x:c r="L30" s="11"/>
      <x:c r="M30" s="17">
        <x:f>IF(AND(B30&lt;&gt;"",$B$6&lt;&gt;""),IF(B30&lt;=$B$6+0.5,1,0),"")</x:f>
      </x:c>
      <x:c r="N30" s="17">
        <x:f>IF(AND(G30&lt;&gt;"",$E$6&lt;&gt;""),IF(G30&lt;=$E$6+0.5,1,0),"")</x:f>
      </x:c>
    </x:row>
    <x:row r="31" spans="1:20">
      <x:c r="A31" s="14">
        <x:v>19</x:v>
      </x:c>
      <x:c r="B31" s="12"/>
      <x:c r="C31" s="12"/>
      <x:c r="D31" s="15"/>
      <x:c r="E31" s="16"/>
      <x:c r="F31" s="11"/>
      <x:c r="G31" s="12"/>
      <x:c r="H31" s="12"/>
      <x:c r="I31" s="15"/>
      <x:c r="J31" s="16"/>
      <x:c r="K31" s="11"/>
      <x:c r="L31" s="11"/>
      <x:c r="M31" s="17">
        <x:f>IF(AND(B31&lt;&gt;"",$B$6&lt;&gt;""),IF(B31&lt;=$B$6+0.5,1,0),"")</x:f>
      </x:c>
      <x:c r="N31" s="17">
        <x:f>IF(AND(G31&lt;&gt;"",$E$6&lt;&gt;""),IF(G31&lt;=$E$6+0.5,1,0),"")</x:f>
      </x:c>
    </x:row>
    <x:row r="32" spans="1:20">
      <x:c r="A32" s="14">
        <x:v>20</x:v>
      </x:c>
      <x:c r="B32" s="12"/>
      <x:c r="C32" s="12"/>
      <x:c r="D32" s="15"/>
      <x:c r="E32" s="16"/>
      <x:c r="F32" s="11"/>
      <x:c r="G32" s="12"/>
      <x:c r="H32" s="12"/>
      <x:c r="I32" s="15"/>
      <x:c r="J32" s="16"/>
      <x:c r="K32" s="11"/>
      <x:c r="L32" s="11"/>
      <x:c r="M32" s="17">
        <x:f>IF(AND(B32&lt;&gt;"",$B$6&lt;&gt;""),IF(B32&lt;=$B$6+0.5,1,0),"")</x:f>
      </x:c>
      <x:c r="N32" s="17">
        <x:f>IF(AND(G32&lt;&gt;"",$E$6&lt;&gt;""),IF(G32&lt;=$E$6+0.5,1,0),"")</x:f>
      </x:c>
    </x:row>
    <x:row r="33" spans="1:20">
      <x:c r="A33" s="14">
        <x:v>21</x:v>
      </x:c>
      <x:c r="B33" s="12"/>
      <x:c r="C33" s="12"/>
      <x:c r="D33" s="15"/>
      <x:c r="E33" s="16"/>
      <x:c r="F33" s="11"/>
      <x:c r="G33" s="12"/>
      <x:c r="H33" s="12"/>
      <x:c r="I33" s="15"/>
      <x:c r="J33" s="16"/>
      <x:c r="K33" s="11"/>
      <x:c r="L33" s="11"/>
      <x:c r="M33" s="17">
        <x:f>IF(AND(B33&lt;&gt;"",$B$6&lt;&gt;""),IF(B33&lt;=$B$6+0.5,1,0),"")</x:f>
      </x:c>
      <x:c r="N33" s="17">
        <x:f>IF(AND(G33&lt;&gt;"",$E$6&lt;&gt;""),IF(G33&lt;=$E$6+0.5,1,0),"")</x:f>
      </x:c>
    </x:row>
    <x:row r="34" spans="1:20">
      <x:c r="A34" s="14">
        <x:v>22</x:v>
      </x:c>
      <x:c r="B34" s="12"/>
      <x:c r="C34" s="12"/>
      <x:c r="D34" s="15"/>
      <x:c r="E34" s="16"/>
      <x:c r="F34" s="11"/>
      <x:c r="G34" s="12"/>
      <x:c r="H34" s="12"/>
      <x:c r="I34" s="15"/>
      <x:c r="J34" s="16"/>
      <x:c r="K34" s="11"/>
      <x:c r="L34" s="11"/>
      <x:c r="M34" s="17">
        <x:f>IF(AND(B34&lt;&gt;"",$B$6&lt;&gt;""),IF(B34&lt;=$B$6+0.5,1,0),"")</x:f>
      </x:c>
      <x:c r="N34" s="17">
        <x:f>IF(AND(G34&lt;&gt;"",$E$6&lt;&gt;""),IF(G34&lt;=$E$6+0.5,1,0),"")</x:f>
      </x:c>
    </x:row>
    <x:row r="35" spans="1:20">
      <x:c r="A35" s="14">
        <x:v>23</x:v>
      </x:c>
      <x:c r="B35" s="12"/>
      <x:c r="C35" s="12"/>
      <x:c r="D35" s="15"/>
      <x:c r="E35" s="16"/>
      <x:c r="F35" s="11"/>
      <x:c r="G35" s="12"/>
      <x:c r="H35" s="12"/>
      <x:c r="I35" s="15"/>
      <x:c r="J35" s="16"/>
      <x:c r="K35" s="11"/>
      <x:c r="L35" s="11"/>
      <x:c r="M35" s="17">
        <x:f>IF(AND(B35&lt;&gt;"",$B$6&lt;&gt;""),IF(B35&lt;=$B$6+0.5,1,0),"")</x:f>
      </x:c>
      <x:c r="N35" s="17">
        <x:f>IF(AND(G35&lt;&gt;"",$E$6&lt;&gt;""),IF(G35&lt;=$E$6+0.5,1,0),"")</x:f>
      </x:c>
    </x:row>
    <x:row r="36" spans="1:20">
      <x:c r="A36" s="14">
        <x:v>24</x:v>
      </x:c>
      <x:c r="B36" s="12"/>
      <x:c r="C36" s="12"/>
      <x:c r="D36" s="15"/>
      <x:c r="E36" s="16"/>
      <x:c r="F36" s="11"/>
      <x:c r="G36" s="12"/>
      <x:c r="H36" s="12"/>
      <x:c r="I36" s="15"/>
      <x:c r="J36" s="16"/>
      <x:c r="K36" s="11"/>
      <x:c r="L36" s="11"/>
      <x:c r="M36" s="17">
        <x:f>IF(AND(B36&lt;&gt;"",$B$6&lt;&gt;""),IF(B36&lt;=$B$6+0.5,1,0),"")</x:f>
      </x:c>
      <x:c r="N36" s="17">
        <x:f>IF(AND(G36&lt;&gt;"",$E$6&lt;&gt;""),IF(G36&lt;=$E$6+0.5,1,0),"")</x:f>
      </x:c>
    </x:row>
    <x:row r="37" spans="1:20">
      <x:c r="A37" s="14">
        <x:v>25</x:v>
      </x:c>
      <x:c r="B37" s="12"/>
      <x:c r="C37" s="12"/>
      <x:c r="D37" s="15"/>
      <x:c r="E37" s="16"/>
      <x:c r="F37" s="11"/>
      <x:c r="G37" s="12"/>
      <x:c r="H37" s="12"/>
      <x:c r="I37" s="15"/>
      <x:c r="J37" s="16"/>
      <x:c r="K37" s="11"/>
      <x:c r="L37" s="11"/>
      <x:c r="M37" s="17">
        <x:f>IF(AND(B37&lt;&gt;"",$B$6&lt;&gt;""),IF(B37&lt;=$B$6+0.5,1,0),"")</x:f>
      </x:c>
      <x:c r="N37" s="17">
        <x:f>IF(AND(G37&lt;&gt;"",$E$6&lt;&gt;""),IF(G37&lt;=$E$6+0.5,1,0),"")</x:f>
      </x:c>
    </x:row>
    <x:row r="38" spans="1:20">
      <x:c r="A38" s="14">
        <x:v>26</x:v>
      </x:c>
      <x:c r="B38" s="12"/>
      <x:c r="C38" s="12"/>
      <x:c r="D38" s="15"/>
      <x:c r="E38" s="16"/>
      <x:c r="F38" s="11"/>
      <x:c r="G38" s="12"/>
      <x:c r="H38" s="12"/>
      <x:c r="I38" s="15"/>
      <x:c r="J38" s="16"/>
      <x:c r="K38" s="11"/>
      <x:c r="L38" s="11"/>
      <x:c r="M38" s="17">
        <x:f>IF(AND(B38&lt;&gt;"",$B$6&lt;&gt;""),IF(B38&lt;=$B$6+0.5,1,0),"")</x:f>
      </x:c>
      <x:c r="N38" s="17">
        <x:f>IF(AND(G38&lt;&gt;"",$E$6&lt;&gt;""),IF(G38&lt;=$E$6+0.5,1,0),"")</x:f>
      </x:c>
    </x:row>
    <x:row r="39" spans="1:20">
      <x:c r="A39" s="14">
        <x:v>27</x:v>
      </x:c>
      <x:c r="B39" s="12"/>
      <x:c r="C39" s="12"/>
      <x:c r="D39" s="15"/>
      <x:c r="E39" s="16"/>
      <x:c r="F39" s="11"/>
      <x:c r="G39" s="12"/>
      <x:c r="H39" s="12"/>
      <x:c r="I39" s="15"/>
      <x:c r="J39" s="16"/>
      <x:c r="K39" s="11"/>
      <x:c r="L39" s="11"/>
      <x:c r="M39" s="17">
        <x:f>IF(AND(B39&lt;&gt;"",$B$6&lt;&gt;""),IF(B39&lt;=$B$6+0.5,1,0),"")</x:f>
      </x:c>
      <x:c r="N39" s="17">
        <x:f>IF(AND(G39&lt;&gt;"",$E$6&lt;&gt;""),IF(G39&lt;=$E$6+0.5,1,0),"")</x:f>
      </x:c>
    </x:row>
    <x:row r="40" spans="1:20">
      <x:c r="A40" s="14">
        <x:v>28</x:v>
      </x:c>
      <x:c r="B40" s="12"/>
      <x:c r="C40" s="12"/>
      <x:c r="D40" s="15"/>
      <x:c r="E40" s="16"/>
      <x:c r="F40" s="11"/>
      <x:c r="G40" s="12"/>
      <x:c r="H40" s="12"/>
      <x:c r="I40" s="15"/>
      <x:c r="J40" s="16"/>
      <x:c r="K40" s="11"/>
      <x:c r="L40" s="11"/>
      <x:c r="M40" s="17">
        <x:f>IF(AND(B40&lt;&gt;"",$B$6&lt;&gt;""),IF(B40&lt;=$B$6+0.5,1,0),"")</x:f>
      </x:c>
      <x:c r="N40" s="17">
        <x:f>IF(AND(G40&lt;&gt;"",$E$6&lt;&gt;""),IF(G40&lt;=$E$6+0.5,1,0),"")</x:f>
      </x:c>
    </x:row>
    <x:row r="41" spans="1:20">
      <x:c r="A41" s="14">
        <x:v>29</x:v>
      </x:c>
      <x:c r="B41" s="12"/>
      <x:c r="C41" s="12"/>
      <x:c r="D41" s="15"/>
      <x:c r="E41" s="16"/>
      <x:c r="F41" s="11"/>
      <x:c r="G41" s="12"/>
      <x:c r="H41" s="12"/>
      <x:c r="I41" s="15"/>
      <x:c r="J41" s="16"/>
      <x:c r="K41" s="11"/>
      <x:c r="L41" s="11"/>
      <x:c r="M41" s="17">
        <x:f>IF(AND(B41&lt;&gt;"",$B$6&lt;&gt;""),IF(B41&lt;=$B$6+0.5,1,0),"")</x:f>
      </x:c>
      <x:c r="N41" s="17">
        <x:f>IF(AND(G41&lt;&gt;"",$E$6&lt;&gt;""),IF(G41&lt;=$E$6+0.5,1,0),"")</x:f>
      </x:c>
    </x:row>
    <x:row r="42" spans="1:20">
      <x:c r="A42" s="14">
        <x:v>30</x:v>
      </x:c>
      <x:c r="B42" s="12"/>
      <x:c r="C42" s="12"/>
      <x:c r="D42" s="15"/>
      <x:c r="E42" s="16"/>
      <x:c r="F42" s="11"/>
      <x:c r="G42" s="12"/>
      <x:c r="H42" s="12"/>
      <x:c r="I42" s="15"/>
      <x:c r="J42" s="16"/>
      <x:c r="K42" s="11"/>
      <x:c r="L42" s="11"/>
      <x:c r="M42" s="17">
        <x:f>IF(AND(B42&lt;&gt;"",$B$6&lt;&gt;""),IF(B42&lt;=$B$6+0.5,1,0),"")</x:f>
      </x:c>
      <x:c r="N42" s="17">
        <x:f>IF(AND(G42&lt;&gt;"",$E$6&lt;&gt;""),IF(G42&lt;=$E$6+0.5,1,0),"")</x:f>
      </x:c>
    </x:row>
    <x:row r="43" spans="1:20">
      <x:c r="A43" s="14">
        <x:v>31</x:v>
      </x:c>
      <x:c r="B43" s="12"/>
      <x:c r="C43" s="12"/>
      <x:c r="D43" s="15"/>
      <x:c r="E43" s="16"/>
      <x:c r="F43" s="11"/>
      <x:c r="G43" s="12"/>
      <x:c r="H43" s="12"/>
      <x:c r="I43" s="15"/>
      <x:c r="J43" s="16"/>
      <x:c r="K43" s="11"/>
      <x:c r="L43" s="11"/>
      <x:c r="M43" s="17">
        <x:f>IF(AND(B43&lt;&gt;"",$B$6&lt;&gt;""),IF(B43&lt;=$B$6+0.5,1,0),"")</x:f>
      </x:c>
      <x:c r="N43" s="17">
        <x:f>IF(AND(G43&lt;&gt;"",$E$6&lt;&gt;""),IF(G43&lt;=$E$6+0.5,1,0),"")</x:f>
      </x:c>
    </x:row>
    <x:row r="44" spans="1:20">
      <x:c r="A44" s="14">
        <x:v>32</x:v>
      </x:c>
      <x:c r="B44" s="12"/>
      <x:c r="C44" s="12"/>
      <x:c r="D44" s="15"/>
      <x:c r="E44" s="16"/>
      <x:c r="F44" s="11"/>
      <x:c r="G44" s="12"/>
      <x:c r="H44" s="12"/>
      <x:c r="I44" s="15"/>
      <x:c r="J44" s="16"/>
      <x:c r="K44" s="11"/>
      <x:c r="L44" s="11"/>
      <x:c r="M44" s="17">
        <x:f>IF(AND(B44&lt;&gt;"",$B$6&lt;&gt;""),IF(B44&lt;=$B$6+0.5,1,0),"")</x:f>
      </x:c>
      <x:c r="N44" s="17">
        <x:f>IF(AND(G44&lt;&gt;"",$E$6&lt;&gt;""),IF(G44&lt;=$E$6+0.5,1,0),"")</x:f>
      </x:c>
    </x:row>
    <x:row r="45" spans="1:20">
      <x:c r="A45" s="14">
        <x:v>33</x:v>
      </x:c>
      <x:c r="B45" s="12"/>
      <x:c r="C45" s="12"/>
      <x:c r="D45" s="15"/>
      <x:c r="E45" s="16"/>
      <x:c r="F45" s="11"/>
      <x:c r="G45" s="12"/>
      <x:c r="H45" s="12"/>
      <x:c r="I45" s="15"/>
      <x:c r="J45" s="16"/>
      <x:c r="K45" s="11"/>
      <x:c r="L45" s="11"/>
      <x:c r="M45" s="17">
        <x:f>IF(AND(B45&lt;&gt;"",$B$6&lt;&gt;""),IF(B45&lt;=$B$6+0.5,1,0),"")</x:f>
      </x:c>
      <x:c r="N45" s="17">
        <x:f>IF(AND(G45&lt;&gt;"",$E$6&lt;&gt;""),IF(G45&lt;=$E$6+0.5,1,0),"")</x:f>
      </x:c>
    </x:row>
    <x:row r="46" spans="1:20">
      <x:c r="A46" s="14">
        <x:v>34</x:v>
      </x:c>
      <x:c r="B46" s="12"/>
      <x:c r="C46" s="12"/>
      <x:c r="D46" s="15"/>
      <x:c r="E46" s="16"/>
      <x:c r="F46" s="11"/>
      <x:c r="G46" s="12"/>
      <x:c r="H46" s="12"/>
      <x:c r="I46" s="15"/>
      <x:c r="J46" s="16"/>
      <x:c r="K46" s="11"/>
      <x:c r="L46" s="11"/>
      <x:c r="M46" s="17">
        <x:f>IF(AND(B46&lt;&gt;"",$B$6&lt;&gt;""),IF(B46&lt;=$B$6+0.5,1,0),"")</x:f>
      </x:c>
      <x:c r="N46" s="17">
        <x:f>IF(AND(G46&lt;&gt;"",$E$6&lt;&gt;""),IF(G46&lt;=$E$6+0.5,1,0),"")</x:f>
      </x:c>
    </x:row>
    <x:row r="47" spans="1:20">
      <x:c r="A47" s="14">
        <x:v>35</x:v>
      </x:c>
      <x:c r="B47" s="12"/>
      <x:c r="C47" s="12"/>
      <x:c r="D47" s="15"/>
      <x:c r="E47" s="16"/>
      <x:c r="F47" s="11"/>
      <x:c r="G47" s="12"/>
      <x:c r="H47" s="12"/>
      <x:c r="I47" s="15"/>
      <x:c r="J47" s="16"/>
      <x:c r="K47" s="11"/>
      <x:c r="L47" s="11"/>
      <x:c r="M47" s="17">
        <x:f>IF(AND(B47&lt;&gt;"",$B$6&lt;&gt;""),IF(B47&lt;=$B$6+0.5,1,0),"")</x:f>
      </x:c>
      <x:c r="N47" s="17">
        <x:f>IF(AND(G47&lt;&gt;"",$E$6&lt;&gt;""),IF(G47&lt;=$E$6+0.5,1,0),"")</x:f>
      </x:c>
    </x:row>
    <x:row r="48" spans="1:20">
      <x:c r="A48" s="14">
        <x:v>36</x:v>
      </x:c>
      <x:c r="B48" s="12"/>
      <x:c r="C48" s="12"/>
      <x:c r="D48" s="15"/>
      <x:c r="E48" s="16"/>
      <x:c r="F48" s="11"/>
      <x:c r="G48" s="12"/>
      <x:c r="H48" s="12"/>
      <x:c r="I48" s="15"/>
      <x:c r="J48" s="16"/>
      <x:c r="K48" s="11"/>
      <x:c r="L48" s="11"/>
      <x:c r="M48" s="17">
        <x:f>IF(AND(B48&lt;&gt;"",$B$6&lt;&gt;""),IF(B48&lt;=$B$6+0.5,1,0),"")</x:f>
      </x:c>
      <x:c r="N48" s="17">
        <x:f>IF(AND(G48&lt;&gt;"",$E$6&lt;&gt;""),IF(G48&lt;=$E$6+0.5,1,0),"")</x:f>
      </x:c>
    </x:row>
    <x:row r="49" spans="1:20">
      <x:c r="A49" s="14">
        <x:v>37</x:v>
      </x:c>
      <x:c r="B49" s="12"/>
      <x:c r="C49" s="12"/>
      <x:c r="D49" s="15"/>
      <x:c r="E49" s="16"/>
      <x:c r="F49" s="11"/>
      <x:c r="G49" s="12"/>
      <x:c r="H49" s="12"/>
      <x:c r="I49" s="15"/>
      <x:c r="J49" s="16"/>
      <x:c r="K49" s="11"/>
      <x:c r="L49" s="11"/>
      <x:c r="M49" s="17">
        <x:f>IF(AND(B49&lt;&gt;"",$B$6&lt;&gt;""),IF(B49&lt;=$B$6+0.5,1,0),"")</x:f>
      </x:c>
      <x:c r="N49" s="17">
        <x:f>IF(AND(G49&lt;&gt;"",$E$6&lt;&gt;""),IF(G49&lt;=$E$6+0.5,1,0),"")</x:f>
      </x:c>
    </x:row>
    <x:row r="50" spans="1:20">
      <x:c r="A50" s="14">
        <x:v>38</x:v>
      </x:c>
      <x:c r="B50" s="12"/>
      <x:c r="C50" s="12"/>
      <x:c r="D50" s="15"/>
      <x:c r="E50" s="16"/>
      <x:c r="F50" s="11"/>
      <x:c r="G50" s="12"/>
      <x:c r="H50" s="12"/>
      <x:c r="I50" s="15"/>
      <x:c r="J50" s="16"/>
      <x:c r="K50" s="11"/>
      <x:c r="L50" s="11"/>
      <x:c r="M50" s="17">
        <x:f>IF(AND(B50&lt;&gt;"",$B$6&lt;&gt;""),IF(B50&lt;=$B$6+0.5,1,0),"")</x:f>
      </x:c>
      <x:c r="N50" s="17">
        <x:f>IF(AND(G50&lt;&gt;"",$E$6&lt;&gt;""),IF(G50&lt;=$E$6+0.5,1,0),"")</x:f>
      </x:c>
    </x:row>
    <x:row r="51" spans="1:20">
      <x:c r="A51" s="14">
        <x:v>39</x:v>
      </x:c>
      <x:c r="B51" s="12"/>
      <x:c r="C51" s="12"/>
      <x:c r="D51" s="15"/>
      <x:c r="E51" s="16"/>
      <x:c r="F51" s="11"/>
      <x:c r="G51" s="12"/>
      <x:c r="H51" s="12"/>
      <x:c r="I51" s="15"/>
      <x:c r="J51" s="16"/>
      <x:c r="K51" s="11"/>
      <x:c r="L51" s="11"/>
      <x:c r="M51" s="17">
        <x:f>IF(AND(B51&lt;&gt;"",$B$6&lt;&gt;""),IF(B51&lt;=$B$6+0.5,1,0),"")</x:f>
      </x:c>
      <x:c r="N51" s="17">
        <x:f>IF(AND(G51&lt;&gt;"",$E$6&lt;&gt;""),IF(G51&lt;=$E$6+0.5,1,0),"")</x:f>
      </x:c>
    </x:row>
    <x:row r="52" spans="1:20">
      <x:c r="A52" s="14">
        <x:v>40</x:v>
      </x:c>
      <x:c r="B52" s="12"/>
      <x:c r="C52" s="12"/>
      <x:c r="D52" s="15"/>
      <x:c r="E52" s="16"/>
      <x:c r="F52" s="11"/>
      <x:c r="G52" s="12"/>
      <x:c r="H52" s="12"/>
      <x:c r="I52" s="15"/>
      <x:c r="J52" s="16"/>
      <x:c r="K52" s="11"/>
      <x:c r="L52" s="11"/>
      <x:c r="M52" s="17">
        <x:f>IF(AND(B52&lt;&gt;"",$B$6&lt;&gt;""),IF(B52&lt;=$B$6+0.5,1,0),"")</x:f>
      </x:c>
      <x:c r="N52" s="17">
        <x:f>IF(AND(G52&lt;&gt;"",$E$6&lt;&gt;""),IF(G52&lt;=$E$6+0.5,1,0),"")</x:f>
      </x:c>
    </x:row>
    <x:row r="53" spans="1:20">
      <x:c r="A53" s="14">
        <x:v>41</x:v>
      </x:c>
      <x:c r="B53" s="12"/>
      <x:c r="C53" s="12"/>
      <x:c r="D53" s="15"/>
      <x:c r="E53" s="16"/>
      <x:c r="F53" s="11"/>
      <x:c r="G53" s="12"/>
      <x:c r="H53" s="12"/>
      <x:c r="I53" s="15"/>
      <x:c r="J53" s="16"/>
      <x:c r="K53" s="11"/>
      <x:c r="L53" s="11"/>
      <x:c r="M53" s="17">
        <x:f>IF(AND(B53&lt;&gt;"",$B$6&lt;&gt;""),IF(B53&lt;=$B$6+0.5,1,0),"")</x:f>
      </x:c>
      <x:c r="N53" s="17">
        <x:f>IF(AND(G53&lt;&gt;"",$E$6&lt;&gt;""),IF(G53&lt;=$E$6+0.5,1,0),"")</x:f>
      </x:c>
    </x:row>
    <x:row r="54" spans="1:20">
      <x:c r="A54" s="14">
        <x:v>42</x:v>
      </x:c>
      <x:c r="B54" s="12"/>
      <x:c r="C54" s="12"/>
      <x:c r="D54" s="15"/>
      <x:c r="E54" s="16"/>
      <x:c r="F54" s="11"/>
      <x:c r="G54" s="12"/>
      <x:c r="H54" s="12"/>
      <x:c r="I54" s="15"/>
      <x:c r="J54" s="16"/>
      <x:c r="K54" s="11"/>
      <x:c r="L54" s="11"/>
      <x:c r="M54" s="17">
        <x:f>IF(AND(B54&lt;&gt;"",$B$6&lt;&gt;""),IF(B54&lt;=$B$6+0.5,1,0),"")</x:f>
      </x:c>
      <x:c r="N54" s="17">
        <x:f>IF(AND(G54&lt;&gt;"",$E$6&lt;&gt;""),IF(G54&lt;=$E$6+0.5,1,0),"")</x:f>
      </x:c>
    </x:row>
    <x:row r="55" spans="1:20">
      <x:c r="A55" s="14">
        <x:v>43</x:v>
      </x:c>
      <x:c r="B55" s="12"/>
      <x:c r="C55" s="12"/>
      <x:c r="D55" s="15"/>
      <x:c r="E55" s="16"/>
      <x:c r="F55" s="11"/>
      <x:c r="G55" s="12"/>
      <x:c r="H55" s="12"/>
      <x:c r="I55" s="15"/>
      <x:c r="J55" s="16"/>
      <x:c r="K55" s="11"/>
      <x:c r="L55" s="11"/>
      <x:c r="M55" s="17">
        <x:f>IF(AND(B55&lt;&gt;"",$B$6&lt;&gt;""),IF(B55&lt;=$B$6+0.5,1,0),"")</x:f>
      </x:c>
      <x:c r="N55" s="17">
        <x:f>IF(AND(G55&lt;&gt;"",$E$6&lt;&gt;""),IF(G55&lt;=$E$6+0.5,1,0),"")</x:f>
      </x:c>
    </x:row>
    <x:row r="56" spans="1:20">
      <x:c r="A56" s="14">
        <x:v>44</x:v>
      </x:c>
      <x:c r="B56" s="12"/>
      <x:c r="C56" s="12"/>
      <x:c r="D56" s="15"/>
      <x:c r="E56" s="16"/>
      <x:c r="F56" s="11"/>
      <x:c r="G56" s="12"/>
      <x:c r="H56" s="12"/>
      <x:c r="I56" s="15"/>
      <x:c r="J56" s="16"/>
      <x:c r="K56" s="11"/>
      <x:c r="L56" s="11"/>
      <x:c r="M56" s="17">
        <x:f>IF(AND(B56&lt;&gt;"",$B$6&lt;&gt;""),IF(B56&lt;=$B$6+0.5,1,0),"")</x:f>
      </x:c>
      <x:c r="N56" s="17">
        <x:f>IF(AND(G56&lt;&gt;"",$E$6&lt;&gt;""),IF(G56&lt;=$E$6+0.5,1,0),"")</x:f>
      </x:c>
    </x:row>
    <x:row r="57" spans="1:20">
      <x:c r="A57" s="14">
        <x:v>45</x:v>
      </x:c>
      <x:c r="B57" s="12"/>
      <x:c r="C57" s="12"/>
      <x:c r="D57" s="15"/>
      <x:c r="E57" s="16"/>
      <x:c r="F57" s="11"/>
      <x:c r="G57" s="12"/>
      <x:c r="H57" s="12"/>
      <x:c r="I57" s="15"/>
      <x:c r="J57" s="16"/>
      <x:c r="K57" s="11"/>
      <x:c r="L57" s="11"/>
      <x:c r="M57" s="17">
        <x:f>IF(AND(B57&lt;&gt;"",$B$6&lt;&gt;""),IF(B57&lt;=$B$6+0.5,1,0),"")</x:f>
      </x:c>
      <x:c r="N57" s="17">
        <x:f>IF(AND(G57&lt;&gt;"",$E$6&lt;&gt;""),IF(G57&lt;=$E$6+0.5,1,0),"")</x:f>
      </x:c>
    </x:row>
    <x:row r="58" spans="1:20">
      <x:c r="A58" s="14">
        <x:v>46</x:v>
      </x:c>
      <x:c r="B58" s="12"/>
      <x:c r="C58" s="12"/>
      <x:c r="D58" s="15"/>
      <x:c r="E58" s="16"/>
      <x:c r="F58" s="11"/>
      <x:c r="G58" s="12"/>
      <x:c r="H58" s="12"/>
      <x:c r="I58" s="15"/>
      <x:c r="J58" s="16"/>
      <x:c r="K58" s="11"/>
      <x:c r="L58" s="11"/>
      <x:c r="M58" s="17">
        <x:f>IF(AND(B58&lt;&gt;"",$B$6&lt;&gt;""),IF(B58&lt;=$B$6+0.5,1,0),"")</x:f>
      </x:c>
      <x:c r="N58" s="17">
        <x:f>IF(AND(G58&lt;&gt;"",$E$6&lt;&gt;""),IF(G58&lt;=$E$6+0.5,1,0),"")</x:f>
      </x:c>
    </x:row>
    <x:row r="59" spans="1:20">
      <x:c r="A59" s="14">
        <x:v>47</x:v>
      </x:c>
      <x:c r="B59" s="12"/>
      <x:c r="C59" s="12"/>
      <x:c r="D59" s="15"/>
      <x:c r="E59" s="16"/>
      <x:c r="F59" s="11"/>
      <x:c r="G59" s="12"/>
      <x:c r="H59" s="12"/>
      <x:c r="I59" s="15"/>
      <x:c r="J59" s="16"/>
      <x:c r="K59" s="11"/>
      <x:c r="L59" s="11"/>
      <x:c r="M59" s="17">
        <x:f>IF(AND(B59&lt;&gt;"",$B$6&lt;&gt;""),IF(B59&lt;=$B$6+0.5,1,0),"")</x:f>
      </x:c>
      <x:c r="N59" s="17">
        <x:f>IF(AND(G59&lt;&gt;"",$E$6&lt;&gt;""),IF(G59&lt;=$E$6+0.5,1,0),"")</x:f>
      </x:c>
    </x:row>
    <x:row r="60" spans="1:20">
      <x:c r="A60" s="14">
        <x:v>48</x:v>
      </x:c>
      <x:c r="B60" s="12"/>
      <x:c r="C60" s="12"/>
      <x:c r="D60" s="15"/>
      <x:c r="E60" s="16"/>
      <x:c r="F60" s="11"/>
      <x:c r="G60" s="12"/>
      <x:c r="H60" s="12"/>
      <x:c r="I60" s="15"/>
      <x:c r="J60" s="16"/>
      <x:c r="K60" s="11"/>
      <x:c r="L60" s="11"/>
      <x:c r="M60" s="17">
        <x:f>IF(AND(B60&lt;&gt;"",$B$6&lt;&gt;""),IF(B60&lt;=$B$6+0.5,1,0),"")</x:f>
      </x:c>
      <x:c r="N60" s="17">
        <x:f>IF(AND(G60&lt;&gt;"",$E$6&lt;&gt;""),IF(G60&lt;=$E$6+0.5,1,0),"")</x:f>
      </x:c>
    </x:row>
    <x:row r="61" spans="1:20">
      <x:c r="A61" s="14">
        <x:v>49</x:v>
      </x:c>
      <x:c r="B61" s="12"/>
      <x:c r="C61" s="12"/>
      <x:c r="D61" s="15"/>
      <x:c r="E61" s="16"/>
      <x:c r="F61" s="11"/>
      <x:c r="G61" s="12"/>
      <x:c r="H61" s="12"/>
      <x:c r="I61" s="15"/>
      <x:c r="J61" s="16"/>
      <x:c r="K61" s="11"/>
      <x:c r="L61" s="11"/>
      <x:c r="M61" s="17">
        <x:f>IF(AND(B61&lt;&gt;"",$B$6&lt;&gt;""),IF(B61&lt;=$B$6+0.5,1,0),"")</x:f>
      </x:c>
      <x:c r="N61" s="17">
        <x:f>IF(AND(G61&lt;&gt;"",$E$6&lt;&gt;""),IF(G61&lt;=$E$6+0.5,1,0),"")</x:f>
      </x:c>
    </x:row>
    <x:row r="62" spans="1:20">
      <x:c r="A62" s="14">
        <x:v>50</x:v>
      </x:c>
      <x:c r="B62" s="12"/>
      <x:c r="C62" s="12"/>
      <x:c r="D62" s="15"/>
      <x:c r="E62" s="16"/>
      <x:c r="F62" s="11"/>
      <x:c r="G62" s="12"/>
      <x:c r="H62" s="12"/>
      <x:c r="I62" s="15"/>
      <x:c r="J62" s="16"/>
      <x:c r="K62" s="11"/>
      <x:c r="L62" s="11"/>
      <x:c r="M62" s="17">
        <x:f>IF(AND(B62&lt;&gt;"",$B$6&lt;&gt;""),IF(B62&lt;=$B$6+0.5,1,0),"")</x:f>
      </x:c>
      <x:c r="N62" s="17">
        <x:f>IF(AND(G62&lt;&gt;"",$E$6&lt;&gt;""),IF(G62&lt;=$E$6+0.5,1,0),"")</x:f>
      </x:c>
    </x:row>
    <x:row r="63" spans="1:20">
      <x:c r="A63" s="14">
        <x:v>51</x:v>
      </x:c>
      <x:c r="B63" s="12"/>
      <x:c r="C63" s="12"/>
      <x:c r="D63" s="15"/>
      <x:c r="E63" s="16"/>
      <x:c r="F63" s="11"/>
      <x:c r="G63" s="12"/>
      <x:c r="H63" s="12"/>
      <x:c r="I63" s="15"/>
      <x:c r="J63" s="16"/>
      <x:c r="K63" s="11"/>
      <x:c r="L63" s="11"/>
      <x:c r="M63" s="17">
        <x:f>IF(AND(B63&lt;&gt;"",$B$6&lt;&gt;""),IF(B63&lt;=$B$6+0.5,1,0),"")</x:f>
      </x:c>
      <x:c r="N63" s="17">
        <x:f>IF(AND(G63&lt;&gt;"",$E$6&lt;&gt;""),IF(G63&lt;=$E$6+0.5,1,0),"")</x:f>
      </x:c>
    </x:row>
    <x:row r="64" spans="1:20">
      <x:c r="A64" s="14">
        <x:v>52</x:v>
      </x:c>
      <x:c r="B64" s="12"/>
      <x:c r="C64" s="12"/>
      <x:c r="D64" s="15"/>
      <x:c r="E64" s="16"/>
      <x:c r="F64" s="11"/>
      <x:c r="G64" s="12"/>
      <x:c r="H64" s="12"/>
      <x:c r="I64" s="15"/>
      <x:c r="J64" s="16"/>
      <x:c r="K64" s="11"/>
      <x:c r="L64" s="11"/>
      <x:c r="M64" s="17">
        <x:f>IF(AND(B64&lt;&gt;"",$B$6&lt;&gt;""),IF(B64&lt;=$B$6+0.5,1,0),"")</x:f>
      </x:c>
      <x:c r="N64" s="17">
        <x:f>IF(AND(G64&lt;&gt;"",$E$6&lt;&gt;""),IF(G64&lt;=$E$6+0.5,1,0),"")</x:f>
      </x:c>
    </x:row>
    <x:row r="65" spans="1:20">
      <x:c r="A65" s="14">
        <x:v>53</x:v>
      </x:c>
      <x:c r="B65" s="12"/>
      <x:c r="C65" s="12"/>
      <x:c r="D65" s="15"/>
      <x:c r="E65" s="16"/>
      <x:c r="F65" s="11"/>
      <x:c r="G65" s="12"/>
      <x:c r="H65" s="12"/>
      <x:c r="I65" s="15"/>
      <x:c r="J65" s="16"/>
      <x:c r="K65" s="11"/>
      <x:c r="L65" s="11"/>
      <x:c r="M65" s="17">
        <x:f>IF(AND(B65&lt;&gt;"",$B$6&lt;&gt;""),IF(B65&lt;=$B$6+0.5,1,0),"")</x:f>
      </x:c>
      <x:c r="N65" s="17">
        <x:f>IF(AND(G65&lt;&gt;"",$E$6&lt;&gt;""),IF(G65&lt;=$E$6+0.5,1,0),"")</x:f>
      </x:c>
    </x:row>
    <x:row r="66" spans="1:20">
      <x:c r="A66" s="14">
        <x:v>54</x:v>
      </x:c>
      <x:c r="B66" s="12"/>
      <x:c r="C66" s="12"/>
      <x:c r="D66" s="15"/>
      <x:c r="E66" s="16"/>
      <x:c r="F66" s="11"/>
      <x:c r="G66" s="12"/>
      <x:c r="H66" s="12"/>
      <x:c r="I66" s="15"/>
      <x:c r="J66" s="16"/>
      <x:c r="K66" s="11"/>
      <x:c r="L66" s="11"/>
      <x:c r="M66" s="17">
        <x:f>IF(AND(B66&lt;&gt;"",$B$6&lt;&gt;""),IF(B66&lt;=$B$6+0.5,1,0),"")</x:f>
      </x:c>
      <x:c r="N66" s="17">
        <x:f>IF(AND(G66&lt;&gt;"",$E$6&lt;&gt;""),IF(G66&lt;=$E$6+0.5,1,0),"")</x:f>
      </x:c>
    </x:row>
    <x:row r="67" spans="1:20">
      <x:c r="A67" s="14">
        <x:v>55</x:v>
      </x:c>
      <x:c r="B67" s="12"/>
      <x:c r="C67" s="12"/>
      <x:c r="D67" s="15"/>
      <x:c r="E67" s="16"/>
      <x:c r="F67" s="11"/>
      <x:c r="G67" s="12"/>
      <x:c r="H67" s="12"/>
      <x:c r="I67" s="15"/>
      <x:c r="J67" s="16"/>
      <x:c r="K67" s="11"/>
      <x:c r="L67" s="11"/>
      <x:c r="M67" s="17">
        <x:f>IF(AND(B67&lt;&gt;"",$B$6&lt;&gt;""),IF(B67&lt;=$B$6+0.5,1,0),"")</x:f>
      </x:c>
      <x:c r="N67" s="17">
        <x:f>IF(AND(G67&lt;&gt;"",$E$6&lt;&gt;""),IF(G67&lt;=$E$6+0.5,1,0),"")</x:f>
      </x:c>
    </x:row>
    <x:row r="68" spans="1:20">
      <x:c r="A68" s="14">
        <x:v>56</x:v>
      </x:c>
      <x:c r="B68" s="12"/>
      <x:c r="C68" s="12"/>
      <x:c r="D68" s="15"/>
      <x:c r="E68" s="16"/>
      <x:c r="F68" s="11"/>
      <x:c r="G68" s="12"/>
      <x:c r="H68" s="12"/>
      <x:c r="I68" s="15"/>
      <x:c r="J68" s="16"/>
      <x:c r="K68" s="11"/>
      <x:c r="L68" s="11"/>
      <x:c r="M68" s="17">
        <x:f>IF(AND(B68&lt;&gt;"",$B$6&lt;&gt;""),IF(B68&lt;=$B$6+0.5,1,0),"")</x:f>
      </x:c>
      <x:c r="N68" s="17">
        <x:f>IF(AND(G68&lt;&gt;"",$E$6&lt;&gt;""),IF(G68&lt;=$E$6+0.5,1,0),"")</x:f>
      </x:c>
    </x:row>
    <x:row r="69" spans="1:20">
      <x:c r="A69" s="14">
        <x:v>57</x:v>
      </x:c>
      <x:c r="B69" s="12"/>
      <x:c r="C69" s="12"/>
      <x:c r="D69" s="15"/>
      <x:c r="E69" s="16"/>
      <x:c r="F69" s="11"/>
      <x:c r="G69" s="12"/>
      <x:c r="H69" s="12"/>
      <x:c r="I69" s="15"/>
      <x:c r="J69" s="16"/>
      <x:c r="K69" s="11"/>
      <x:c r="L69" s="11"/>
      <x:c r="M69" s="17">
        <x:f>IF(AND(B69&lt;&gt;"",$B$6&lt;&gt;""),IF(B69&lt;=$B$6+0.5,1,0),"")</x:f>
      </x:c>
      <x:c r="N69" s="17">
        <x:f>IF(AND(G69&lt;&gt;"",$E$6&lt;&gt;""),IF(G69&lt;=$E$6+0.5,1,0),"")</x:f>
      </x:c>
    </x:row>
    <x:row r="70" spans="1:20">
      <x:c r="A70" s="14">
        <x:v>58</x:v>
      </x:c>
      <x:c r="B70" s="12"/>
      <x:c r="C70" s="12"/>
      <x:c r="D70" s="15"/>
      <x:c r="E70" s="16"/>
      <x:c r="F70" s="11"/>
      <x:c r="G70" s="12"/>
      <x:c r="H70" s="12"/>
      <x:c r="I70" s="15"/>
      <x:c r="J70" s="16"/>
      <x:c r="K70" s="11"/>
      <x:c r="L70" s="11"/>
      <x:c r="M70" s="17">
        <x:f>IF(AND(B70&lt;&gt;"",$B$6&lt;&gt;""),IF(B70&lt;=$B$6+0.5,1,0),"")</x:f>
      </x:c>
      <x:c r="N70" s="17">
        <x:f>IF(AND(G70&lt;&gt;"",$E$6&lt;&gt;""),IF(G70&lt;=$E$6+0.5,1,0),"")</x:f>
      </x:c>
    </x:row>
    <x:row r="71" spans="1:20">
      <x:c r="A71" s="14">
        <x:v>59</x:v>
      </x:c>
      <x:c r="B71" s="12"/>
      <x:c r="C71" s="12"/>
      <x:c r="D71" s="15"/>
      <x:c r="E71" s="16"/>
      <x:c r="F71" s="11"/>
      <x:c r="G71" s="12"/>
      <x:c r="H71" s="12"/>
      <x:c r="I71" s="15"/>
      <x:c r="J71" s="16"/>
      <x:c r="K71" s="11"/>
      <x:c r="L71" s="11"/>
      <x:c r="M71" s="17">
        <x:f>IF(AND(B71&lt;&gt;"",$B$6&lt;&gt;""),IF(B71&lt;=$B$6+0.5,1,0),"")</x:f>
      </x:c>
      <x:c r="N71" s="17">
        <x:f>IF(AND(G71&lt;&gt;"",$E$6&lt;&gt;""),IF(G71&lt;=$E$6+0.5,1,0),"")</x:f>
      </x:c>
    </x:row>
    <x:row r="72" spans="1:20">
      <x:c r="A72" s="14">
        <x:v>60</x:v>
      </x:c>
      <x:c r="B72" s="12"/>
      <x:c r="C72" s="12"/>
      <x:c r="D72" s="15"/>
      <x:c r="E72" s="16"/>
      <x:c r="F72" s="11"/>
      <x:c r="G72" s="12"/>
      <x:c r="H72" s="12"/>
      <x:c r="I72" s="15"/>
      <x:c r="J72" s="16"/>
      <x:c r="K72" s="11"/>
      <x:c r="L72" s="11"/>
      <x:c r="M72" s="17">
        <x:f>IF(AND(B72&lt;&gt;"",$B$6&lt;&gt;""),IF(B72&lt;=$B$6+0.5,1,0),"")</x:f>
      </x:c>
      <x:c r="N72" s="17">
        <x:f>IF(AND(G72&lt;&gt;"",$E$6&lt;&gt;""),IF(G72&lt;=$E$6+0.5,1,0),"")</x:f>
      </x:c>
    </x:row>
  </x:sheetData>
  <x:mergeCells count="12">
    <x:mergeCell ref="B4:C4"/>
    <x:mergeCell ref="E4:F4"/>
    <x:mergeCell ref="B5:C5"/>
    <x:mergeCell ref="E5:F5"/>
    <x:mergeCell ref="B6:C6"/>
    <x:mergeCell ref="E6:F6"/>
    <x:mergeCell ref="B7:C7"/>
    <x:mergeCell ref="E7:F7"/>
    <x:mergeCell ref="B8:C8"/>
    <x:mergeCell ref="E8:F8"/>
    <x:mergeCell ref="B9:C9"/>
    <x:mergeCell ref="E9:F9"/>
  </x:mergeCells>
  <x:dataValidations count="1">
    <x:dataValidation type="list" errorStyle="stop" operator="between" allowBlank="1" showDropDown="0" showInputMessage="1" showErrorMessage="1" errorTitle="" error="" promptTitle="" prompt="" sqref="B7:B7">
      <x:formula1>"尽快,按速率,按时长"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8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72"/>
  <x:sheetViews>
    <x:sheetView workbookViewId="0">
      <x:pane xSplit="1" ySplit="11" topLeftCell="B12" activePane="bottomRight" state="frozenSplit"/>
    </x:sheetView>
  </x:sheetViews>
  <x:sheetFormatPr defaultRowHeight="15"/>
  <x:cols>
    <x:col min="1" max="1" width="10.710625" style="0" customWidth="1"/>
    <x:col min="2" max="2" width="11.710625" style="0" customWidth="1"/>
    <x:col min="3" max="4" width="10.710625" style="0" customWidth="1"/>
    <x:col min="5" max="5" width="11.710625" style="0" customWidth="1"/>
    <x:col min="6" max="6" width="9.710625" style="0" customWidth="1"/>
    <x:col min="7" max="7" width="11.710625" style="0" customWidth="1"/>
    <x:col min="8" max="9" width="10.710625" style="0" customWidth="1"/>
    <x:col min="10" max="10" width="11.710625" style="0" customWidth="1"/>
    <x:col min="11" max="11" width="9.710625" style="0" customWidth="1"/>
    <x:col min="12" max="12" width="22.710625" style="0" customWidth="1"/>
    <x:col min="13" max="14" width="10.710625" style="0" customWidth="1"/>
    <x:col min="15" max="15" width="9.140625" style="0" customWidth="1"/>
    <x:col min="16" max="16" width="36.710625" style="0" customWidth="1"/>
    <x:col min="17" max="17" width="14.710625" style="0" customWidth="1"/>
    <x:col min="18" max="20" width="9.140625" style="0" customWidth="1"/>
  </x:cols>
  <x:sheetData>
    <x:row r="1" spans="1:20">
      <x:c r="A1" s="1" t="s">
        <x:v>68</x:v>
      </x:c>
    </x:row>
    <x:row r="2" spans="1:20">
      <x:c r="A2" s="2" t="s">
        <x:v>24</x:v>
      </x:c>
    </x:row>
    <x:row r="4" spans="1:20">
      <x:c r="A4" s="8" t="s">
        <x:v>25</x:v>
      </x:c>
      <x:c r="B4" s="9"/>
      <x:c r="C4" s="10"/>
      <x:c r="D4" s="8" t="s">
        <x:v>26</x:v>
      </x:c>
      <x:c r="E4" s="11"/>
      <x:c r="F4" s="10"/>
    </x:row>
    <x:row r="5" spans="1:20">
      <x:c r="A5" s="8" t="s">
        <x:v>27</x:v>
      </x:c>
      <x:c r="B5" s="12"/>
      <x:c r="C5" s="10"/>
      <x:c r="D5" s="8" t="s">
        <x:v>28</x:v>
      </x:c>
      <x:c r="E5" s="12"/>
      <x:c r="F5" s="10"/>
    </x:row>
    <x:row r="6" spans="1:20">
      <x:c r="A6" s="8" t="s">
        <x:v>29</x:v>
      </x:c>
      <x:c r="B6" s="12"/>
      <x:c r="C6" s="10"/>
      <x:c r="D6" s="8" t="s">
        <x:v>30</x:v>
      </x:c>
      <x:c r="E6" s="12"/>
      <x:c r="F6" s="10"/>
    </x:row>
    <x:row r="7" spans="1:20">
      <x:c r="A7" s="8" t="s">
        <x:v>31</x:v>
      </x:c>
      <x:c r="B7" s="11" t="s">
        <x:v>32</x:v>
      </x:c>
      <x:c r="C7" s="10"/>
      <x:c r="D7" s="8" t="s">
        <x:v>33</x:v>
      </x:c>
      <x:c r="E7" s="12"/>
      <x:c r="F7" s="10"/>
    </x:row>
    <x:row r="8" spans="1:20">
      <x:c r="A8" s="8" t="s">
        <x:v>34</x:v>
      </x:c>
      <x:c r="B8" s="12"/>
      <x:c r="C8" s="10"/>
      <x:c r="D8" s="8" t="s">
        <x:v>35</x:v>
      </x:c>
      <x:c r="E8" s="11"/>
      <x:c r="F8" s="10"/>
    </x:row>
    <x:row r="9" spans="1:20">
      <x:c r="A9" s="8" t="s">
        <x:v>36</x:v>
      </x:c>
      <x:c r="B9" s="11"/>
      <x:c r="C9" s="10"/>
      <x:c r="D9" s="8" t="s">
        <x:v>37</x:v>
      </x:c>
      <x:c r="E9" s="11"/>
      <x:c r="F9" s="10"/>
    </x:row>
    <x:row r="11" spans="1:20">
      <x:c r="A11" s="13" t="s">
        <x:v>38</x:v>
      </x:c>
      <x:c r="B11" s="13" t="s">
        <x:v>39</x:v>
      </x:c>
      <x:c r="C11" s="13" t="s">
        <x:v>40</x:v>
      </x:c>
      <x:c r="D11" s="13" t="s">
        <x:v>41</x:v>
      </x:c>
      <x:c r="E11" s="13" t="s">
        <x:v>42</x:v>
      </x:c>
      <x:c r="F11" s="13" t="s">
        <x:v>43</x:v>
      </x:c>
      <x:c r="G11" s="13" t="s">
        <x:v>44</x:v>
      </x:c>
      <x:c r="H11" s="13" t="s">
        <x:v>45</x:v>
      </x:c>
      <x:c r="I11" s="13" t="s">
        <x:v>46</x:v>
      </x:c>
      <x:c r="J11" s="13" t="s">
        <x:v>47</x:v>
      </x:c>
      <x:c r="K11" s="13" t="s">
        <x:v>48</x:v>
      </x:c>
      <x:c r="L11" s="13" t="s">
        <x:v>37</x:v>
      </x:c>
      <x:c r="M11" s="13" t="s">
        <x:v>49</x:v>
      </x:c>
      <x:c r="N11" s="13" t="s">
        <x:v>50</x:v>
      </x:c>
      <x:c r="P11" s="13" t="s">
        <x:v>51</x:v>
      </x:c>
      <x:c r="Q11" s="13" t="s">
        <x:v>52</x:v>
      </x:c>
    </x:row>
    <x:row r="12" spans="1:20">
      <x:c r="A12" s="14">
        <x:v>0</x:v>
      </x:c>
      <x:c r="B12" s="12"/>
      <x:c r="C12" s="12"/>
      <x:c r="D12" s="15"/>
      <x:c r="E12" s="16"/>
      <x:c r="F12" s="11"/>
      <x:c r="G12" s="12"/>
      <x:c r="H12" s="12"/>
      <x:c r="I12" s="15"/>
      <x:c r="J12" s="16"/>
      <x:c r="K12" s="11"/>
      <x:c r="L12" s="11"/>
      <x:c r="M12" s="17">
        <x:f>IF(AND(B12&lt;&gt;"",$B$6&lt;&gt;""),IF(B12&lt;=$B$6+0.5,1,0),"")</x:f>
      </x:c>
      <x:c r="N12" s="17">
        <x:f>IF(AND(G12&lt;&gt;"",$E$6&lt;&gt;""),IF(G12&lt;=$E$6+0.5,1,0),"")</x:f>
      </x:c>
      <x:c r="P12" s="8" t="s">
        <x:v>53</x:v>
      </x:c>
      <x:c r="Q12" s="18">
        <x:f>IF(COUNT(B12:B72)=0,"",MIN(B12:B72))</x:f>
      </x:c>
    </x:row>
    <x:row r="13" spans="1:20">
      <x:c r="A13" s="14">
        <x:v>1</x:v>
      </x:c>
      <x:c r="B13" s="12"/>
      <x:c r="C13" s="12"/>
      <x:c r="D13" s="15"/>
      <x:c r="E13" s="16"/>
      <x:c r="F13" s="11"/>
      <x:c r="G13" s="12"/>
      <x:c r="H13" s="12"/>
      <x:c r="I13" s="15"/>
      <x:c r="J13" s="16"/>
      <x:c r="K13" s="11"/>
      <x:c r="L13" s="11"/>
      <x:c r="M13" s="17">
        <x:f>IF(AND(B13&lt;&gt;"",$B$6&lt;&gt;""),IF(B13&lt;=$B$6+0.5,1,0),"")</x:f>
      </x:c>
      <x:c r="N13" s="17">
        <x:f>IF(AND(G13&lt;&gt;"",$E$6&lt;&gt;""),IF(G13&lt;=$E$6+0.5,1,0),"")</x:f>
      </x:c>
      <x:c r="P13" s="8" t="s">
        <x:v>54</x:v>
      </x:c>
      <x:c r="Q13" s="17">
        <x:f>IFERROR(INDEX($A$12:$A$72,MATCH(1,M12:M72,0)),"未到")</x:f>
      </x:c>
    </x:row>
    <x:row r="14" spans="1:20">
      <x:c r="A14" s="14">
        <x:v>2</x:v>
      </x:c>
      <x:c r="B14" s="12"/>
      <x:c r="C14" s="12"/>
      <x:c r="D14" s="15"/>
      <x:c r="E14" s="16"/>
      <x:c r="F14" s="11"/>
      <x:c r="G14" s="12"/>
      <x:c r="H14" s="12"/>
      <x:c r="I14" s="15"/>
      <x:c r="J14" s="16"/>
      <x:c r="K14" s="11"/>
      <x:c r="L14" s="11"/>
      <x:c r="M14" s="17">
        <x:f>IF(AND(B14&lt;&gt;"",$B$6&lt;&gt;""),IF(B14&lt;=$B$6+0.5,1,0),"")</x:f>
      </x:c>
      <x:c r="N14" s="17">
        <x:f>IF(AND(G14&lt;&gt;"",$E$6&lt;&gt;""),IF(G14&lt;=$E$6+0.5,1,0),"")</x:f>
      </x:c>
      <x:c r="P14" s="8" t="s">
        <x:v>55</x:v>
      </x:c>
      <x:c r="Q14" s="18">
        <x:f>IF(OR($Q$12="",$B$6=""),"",$Q$12-$B$6)</x:f>
      </x:c>
    </x:row>
    <x:row r="15" spans="1:20">
      <x:c r="A15" s="14">
        <x:v>3</x:v>
      </x:c>
      <x:c r="B15" s="12"/>
      <x:c r="C15" s="12"/>
      <x:c r="D15" s="15"/>
      <x:c r="E15" s="16"/>
      <x:c r="F15" s="11"/>
      <x:c r="G15" s="12"/>
      <x:c r="H15" s="12"/>
      <x:c r="I15" s="15"/>
      <x:c r="J15" s="16"/>
      <x:c r="K15" s="11"/>
      <x:c r="L15" s="11"/>
      <x:c r="M15" s="17">
        <x:f>IF(AND(B15&lt;&gt;"",$B$6&lt;&gt;""),IF(B15&lt;=$B$6+0.5,1,0),"")</x:f>
      </x:c>
      <x:c r="N15" s="17">
        <x:f>IF(AND(G15&lt;&gt;"",$E$6&lt;&gt;""),IF(G15&lt;=$E$6+0.5,1,0),"")</x:f>
      </x:c>
      <x:c r="P15" s="8" t="s">
        <x:v>56</x:v>
      </x:c>
      <x:c r="Q15" s="19">
        <x:f>IF(OR(B12="",B22="",A22=A12),"",(B12-B22)/(A22-A12))</x:f>
      </x:c>
    </x:row>
    <x:row r="16" spans="1:20">
      <x:c r="A16" s="14">
        <x:v>4</x:v>
      </x:c>
      <x:c r="B16" s="12"/>
      <x:c r="C16" s="12"/>
      <x:c r="D16" s="15"/>
      <x:c r="E16" s="16"/>
      <x:c r="F16" s="11"/>
      <x:c r="G16" s="12"/>
      <x:c r="H16" s="12"/>
      <x:c r="I16" s="15"/>
      <x:c r="J16" s="16"/>
      <x:c r="K16" s="11"/>
      <x:c r="L16" s="11"/>
      <x:c r="M16" s="17">
        <x:f>IF(AND(B16&lt;&gt;"",$B$6&lt;&gt;""),IF(B16&lt;=$B$6+0.5,1,0),"")</x:f>
      </x:c>
      <x:c r="N16" s="17">
        <x:f>IF(AND(G16&lt;&gt;"",$E$6&lt;&gt;""),IF(G16&lt;=$E$6+0.5,1,0),"")</x:f>
      </x:c>
      <x:c r="P16" s="8" t="s">
        <x:v>57</x:v>
      </x:c>
      <x:c r="Q16" s="18">
        <x:f>IF(COUNT(C12:C72)=0,"",AVERAGE(C12:C72))</x:f>
      </x:c>
    </x:row>
    <x:row r="17" spans="1:20">
      <x:c r="A17" s="14">
        <x:v>5</x:v>
      </x:c>
      <x:c r="B17" s="12"/>
      <x:c r="C17" s="12"/>
      <x:c r="D17" s="15"/>
      <x:c r="E17" s="16"/>
      <x:c r="F17" s="11"/>
      <x:c r="G17" s="12"/>
      <x:c r="H17" s="12"/>
      <x:c r="I17" s="15"/>
      <x:c r="J17" s="16"/>
      <x:c r="K17" s="11"/>
      <x:c r="L17" s="11"/>
      <x:c r="M17" s="17">
        <x:f>IF(AND(B17&lt;&gt;"",$B$6&lt;&gt;""),IF(B17&lt;=$B$6+0.5,1,0),"")</x:f>
      </x:c>
      <x:c r="N17" s="17">
        <x:f>IF(AND(G17&lt;&gt;"",$E$6&lt;&gt;""),IF(G17&lt;=$E$6+0.5,1,0),"")</x:f>
      </x:c>
      <x:c r="P17" s="8" t="s">
        <x:v>58</x:v>
      </x:c>
      <x:c r="Q17" s="20">
        <x:f>IF(COUNT(D12:D72)=0,"",MAX(D12:D72))</x:f>
      </x:c>
    </x:row>
    <x:row r="18" spans="1:20">
      <x:c r="A18" s="14">
        <x:v>6</x:v>
      </x:c>
      <x:c r="B18" s="12"/>
      <x:c r="C18" s="12"/>
      <x:c r="D18" s="15"/>
      <x:c r="E18" s="16"/>
      <x:c r="F18" s="11"/>
      <x:c r="G18" s="12"/>
      <x:c r="H18" s="12"/>
      <x:c r="I18" s="15"/>
      <x:c r="J18" s="16"/>
      <x:c r="K18" s="11"/>
      <x:c r="L18" s="11"/>
      <x:c r="M18" s="17">
        <x:f>IF(AND(B18&lt;&gt;"",$B$6&lt;&gt;""),IF(B18&lt;=$B$6+0.5,1,0),"")</x:f>
      </x:c>
      <x:c r="N18" s="17">
        <x:f>IF(AND(G18&lt;&gt;"",$E$6&lt;&gt;""),IF(G18&lt;=$E$6+0.5,1,0),"")</x:f>
      </x:c>
      <x:c r="P18" s="8" t="s">
        <x:v>59</x:v>
      </x:c>
      <x:c r="Q18" s="19">
        <x:f>IF(COUNT(E12:E72)=0,"",MIN(E12:E72))</x:f>
      </x:c>
    </x:row>
    <x:row r="19" spans="1:20">
      <x:c r="A19" s="14">
        <x:v>7</x:v>
      </x:c>
      <x:c r="B19" s="12"/>
      <x:c r="C19" s="12"/>
      <x:c r="D19" s="15"/>
      <x:c r="E19" s="16"/>
      <x:c r="F19" s="11"/>
      <x:c r="G19" s="12"/>
      <x:c r="H19" s="12"/>
      <x:c r="I19" s="15"/>
      <x:c r="J19" s="16"/>
      <x:c r="K19" s="11"/>
      <x:c r="L19" s="11"/>
      <x:c r="M19" s="17">
        <x:f>IF(AND(B19&lt;&gt;"",$B$6&lt;&gt;""),IF(B19&lt;=$B$6+0.5,1,0),"")</x:f>
      </x:c>
      <x:c r="N19" s="17">
        <x:f>IF(AND(G19&lt;&gt;"",$E$6&lt;&gt;""),IF(G19&lt;=$E$6+0.5,1,0),"")</x:f>
      </x:c>
    </x:row>
    <x:row r="20" spans="1:20">
      <x:c r="A20" s="14">
        <x:v>8</x:v>
      </x:c>
      <x:c r="B20" s="12"/>
      <x:c r="C20" s="12"/>
      <x:c r="D20" s="15"/>
      <x:c r="E20" s="16"/>
      <x:c r="F20" s="11"/>
      <x:c r="G20" s="12"/>
      <x:c r="H20" s="12"/>
      <x:c r="I20" s="15"/>
      <x:c r="J20" s="16"/>
      <x:c r="K20" s="11"/>
      <x:c r="L20" s="11"/>
      <x:c r="M20" s="17">
        <x:f>IF(AND(B20&lt;&gt;"",$B$6&lt;&gt;""),IF(B20&lt;=$B$6+0.5,1,0),"")</x:f>
      </x:c>
      <x:c r="N20" s="17">
        <x:f>IF(AND(G20&lt;&gt;"",$E$6&lt;&gt;""),IF(G20&lt;=$E$6+0.5,1,0),"")</x:f>
      </x:c>
      <x:c r="P20" s="8" t="s">
        <x:v>60</x:v>
      </x:c>
      <x:c r="Q20" s="18">
        <x:f>IF(COUNT(G12:G72)=0,"",MIN(G12:G72))</x:f>
      </x:c>
    </x:row>
    <x:row r="21" spans="1:20">
      <x:c r="A21" s="14">
        <x:v>9</x:v>
      </x:c>
      <x:c r="B21" s="12"/>
      <x:c r="C21" s="12"/>
      <x:c r="D21" s="15"/>
      <x:c r="E21" s="16"/>
      <x:c r="F21" s="11"/>
      <x:c r="G21" s="12"/>
      <x:c r="H21" s="12"/>
      <x:c r="I21" s="15"/>
      <x:c r="J21" s="16"/>
      <x:c r="K21" s="11"/>
      <x:c r="L21" s="11"/>
      <x:c r="M21" s="17">
        <x:f>IF(AND(B21&lt;&gt;"",$B$6&lt;&gt;""),IF(B21&lt;=$B$6+0.5,1,0),"")</x:f>
      </x:c>
      <x:c r="N21" s="17">
        <x:f>IF(AND(G21&lt;&gt;"",$E$6&lt;&gt;""),IF(G21&lt;=$E$6+0.5,1,0),"")</x:f>
      </x:c>
      <x:c r="P21" s="8" t="s">
        <x:v>61</x:v>
      </x:c>
      <x:c r="Q21" s="17">
        <x:f>IFERROR(INDEX($A$12:$A$72,MATCH(1,N12:N72,0)),"未到")</x:f>
      </x:c>
    </x:row>
    <x:row r="22" spans="1:20">
      <x:c r="A22" s="14">
        <x:v>10</x:v>
      </x:c>
      <x:c r="B22" s="12"/>
      <x:c r="C22" s="12"/>
      <x:c r="D22" s="15"/>
      <x:c r="E22" s="16"/>
      <x:c r="F22" s="11"/>
      <x:c r="G22" s="12"/>
      <x:c r="H22" s="12"/>
      <x:c r="I22" s="15"/>
      <x:c r="J22" s="16"/>
      <x:c r="K22" s="11"/>
      <x:c r="L22" s="11"/>
      <x:c r="M22" s="17">
        <x:f>IF(AND(B22&lt;&gt;"",$B$6&lt;&gt;""),IF(B22&lt;=$B$6+0.5,1,0),"")</x:f>
      </x:c>
      <x:c r="N22" s="17">
        <x:f>IF(AND(G22&lt;&gt;"",$E$6&lt;&gt;""),IF(G22&lt;=$E$6+0.5,1,0),"")</x:f>
      </x:c>
      <x:c r="P22" s="8" t="s">
        <x:v>62</x:v>
      </x:c>
      <x:c r="Q22" s="18">
        <x:f>IF(OR($Q$20="",$E$6=""),"",$Q$20-$E$6)</x:f>
      </x:c>
    </x:row>
    <x:row r="23" spans="1:20">
      <x:c r="A23" s="14">
        <x:v>11</x:v>
      </x:c>
      <x:c r="B23" s="12"/>
      <x:c r="C23" s="12"/>
      <x:c r="D23" s="15"/>
      <x:c r="E23" s="16"/>
      <x:c r="F23" s="11"/>
      <x:c r="G23" s="12"/>
      <x:c r="H23" s="12"/>
      <x:c r="I23" s="15"/>
      <x:c r="J23" s="16"/>
      <x:c r="K23" s="11"/>
      <x:c r="L23" s="11"/>
      <x:c r="M23" s="17">
        <x:f>IF(AND(B23&lt;&gt;"",$B$6&lt;&gt;""),IF(B23&lt;=$B$6+0.5,1,0),"")</x:f>
      </x:c>
      <x:c r="N23" s="17">
        <x:f>IF(AND(G23&lt;&gt;"",$E$6&lt;&gt;""),IF(G23&lt;=$E$6+0.5,1,0),"")</x:f>
      </x:c>
      <x:c r="P23" s="8" t="s">
        <x:v>63</x:v>
      </x:c>
      <x:c r="Q23" s="19">
        <x:f>IF(OR(G12="",G22="",A22=A12),"",(G12-G22)/(A22-A12))</x:f>
      </x:c>
    </x:row>
    <x:row r="24" spans="1:20">
      <x:c r="A24" s="14">
        <x:v>12</x:v>
      </x:c>
      <x:c r="B24" s="12"/>
      <x:c r="C24" s="12"/>
      <x:c r="D24" s="15"/>
      <x:c r="E24" s="16"/>
      <x:c r="F24" s="11"/>
      <x:c r="G24" s="12"/>
      <x:c r="H24" s="12"/>
      <x:c r="I24" s="15"/>
      <x:c r="J24" s="16"/>
      <x:c r="K24" s="11"/>
      <x:c r="L24" s="11"/>
      <x:c r="M24" s="17">
        <x:f>IF(AND(B24&lt;&gt;"",$B$6&lt;&gt;""),IF(B24&lt;=$B$6+0.5,1,0),"")</x:f>
      </x:c>
      <x:c r="N24" s="17">
        <x:f>IF(AND(G24&lt;&gt;"",$E$6&lt;&gt;""),IF(G24&lt;=$E$6+0.5,1,0),"")</x:f>
      </x:c>
      <x:c r="P24" s="8" t="s">
        <x:v>64</x:v>
      </x:c>
      <x:c r="Q24" s="18">
        <x:f>IF(COUNT(H12:H72)=0,"",AVERAGE(H12:H72))</x:f>
      </x:c>
    </x:row>
    <x:row r="25" spans="1:20">
      <x:c r="A25" s="14">
        <x:v>13</x:v>
      </x:c>
      <x:c r="B25" s="12"/>
      <x:c r="C25" s="12"/>
      <x:c r="D25" s="15"/>
      <x:c r="E25" s="16"/>
      <x:c r="F25" s="11"/>
      <x:c r="G25" s="12"/>
      <x:c r="H25" s="12"/>
      <x:c r="I25" s="15"/>
      <x:c r="J25" s="16"/>
      <x:c r="K25" s="11"/>
      <x:c r="L25" s="11"/>
      <x:c r="M25" s="17">
        <x:f>IF(AND(B25&lt;&gt;"",$B$6&lt;&gt;""),IF(B25&lt;=$B$6+0.5,1,0),"")</x:f>
      </x:c>
      <x:c r="N25" s="17">
        <x:f>IF(AND(G25&lt;&gt;"",$E$6&lt;&gt;""),IF(G25&lt;=$E$6+0.5,1,0),"")</x:f>
      </x:c>
      <x:c r="P25" s="8" t="s">
        <x:v>65</x:v>
      </x:c>
      <x:c r="Q25" s="20">
        <x:f>IF(COUNT(I12:I72)=0,"",MAX(I12:I72))</x:f>
      </x:c>
    </x:row>
    <x:row r="26" spans="1:20">
      <x:c r="A26" s="14">
        <x:v>14</x:v>
      </x:c>
      <x:c r="B26" s="12"/>
      <x:c r="C26" s="12"/>
      <x:c r="D26" s="15"/>
      <x:c r="E26" s="16"/>
      <x:c r="F26" s="11"/>
      <x:c r="G26" s="12"/>
      <x:c r="H26" s="12"/>
      <x:c r="I26" s="15"/>
      <x:c r="J26" s="16"/>
      <x:c r="K26" s="11"/>
      <x:c r="L26" s="11"/>
      <x:c r="M26" s="17">
        <x:f>IF(AND(B26&lt;&gt;"",$B$6&lt;&gt;""),IF(B26&lt;=$B$6+0.5,1,0),"")</x:f>
      </x:c>
      <x:c r="N26" s="17">
        <x:f>IF(AND(G26&lt;&gt;"",$E$6&lt;&gt;""),IF(G26&lt;=$E$6+0.5,1,0),"")</x:f>
      </x:c>
      <x:c r="P26" s="8" t="s">
        <x:v>66</x:v>
      </x:c>
      <x:c r="Q26" s="19">
        <x:f>IF(COUNT(J12:J72)=0,"",MIN(J12:J72))</x:f>
      </x:c>
    </x:row>
    <x:row r="27" spans="1:20">
      <x:c r="A27" s="14">
        <x:v>15</x:v>
      </x:c>
      <x:c r="B27" s="12"/>
      <x:c r="C27" s="12"/>
      <x:c r="D27" s="15"/>
      <x:c r="E27" s="16"/>
      <x:c r="F27" s="11"/>
      <x:c r="G27" s="12"/>
      <x:c r="H27" s="12"/>
      <x:c r="I27" s="15"/>
      <x:c r="J27" s="16"/>
      <x:c r="K27" s="11"/>
      <x:c r="L27" s="11"/>
      <x:c r="M27" s="17">
        <x:f>IF(AND(B27&lt;&gt;"",$B$6&lt;&gt;""),IF(B27&lt;=$B$6+0.5,1,0),"")</x:f>
      </x:c>
      <x:c r="N27" s="17">
        <x:f>IF(AND(G27&lt;&gt;"",$E$6&lt;&gt;""),IF(G27&lt;=$E$6+0.5,1,0),"")</x:f>
      </x:c>
    </x:row>
    <x:row r="28" spans="1:20">
      <x:c r="A28" s="14">
        <x:v>16</x:v>
      </x:c>
      <x:c r="B28" s="12"/>
      <x:c r="C28" s="12"/>
      <x:c r="D28" s="15"/>
      <x:c r="E28" s="16"/>
      <x:c r="F28" s="11"/>
      <x:c r="G28" s="12"/>
      <x:c r="H28" s="12"/>
      <x:c r="I28" s="15"/>
      <x:c r="J28" s="16"/>
      <x:c r="K28" s="11"/>
      <x:c r="L28" s="11"/>
      <x:c r="M28" s="17">
        <x:f>IF(AND(B28&lt;&gt;"",$B$6&lt;&gt;""),IF(B28&lt;=$B$6+0.5,1,0),"")</x:f>
      </x:c>
      <x:c r="N28" s="17">
        <x:f>IF(AND(G28&lt;&gt;"",$E$6&lt;&gt;""),IF(G28&lt;=$E$6+0.5,1,0),"")</x:f>
      </x:c>
    </x:row>
    <x:row r="29" spans="1:20">
      <x:c r="A29" s="14">
        <x:v>17</x:v>
      </x:c>
      <x:c r="B29" s="12"/>
      <x:c r="C29" s="12"/>
      <x:c r="D29" s="15"/>
      <x:c r="E29" s="16"/>
      <x:c r="F29" s="11"/>
      <x:c r="G29" s="12"/>
      <x:c r="H29" s="12"/>
      <x:c r="I29" s="15"/>
      <x:c r="J29" s="16"/>
      <x:c r="K29" s="11"/>
      <x:c r="L29" s="11"/>
      <x:c r="M29" s="17">
        <x:f>IF(AND(B29&lt;&gt;"",$B$6&lt;&gt;""),IF(B29&lt;=$B$6+0.5,1,0),"")</x:f>
      </x:c>
      <x:c r="N29" s="17">
        <x:f>IF(AND(G29&lt;&gt;"",$E$6&lt;&gt;""),IF(G29&lt;=$E$6+0.5,1,0),"")</x:f>
      </x:c>
    </x:row>
    <x:row r="30" spans="1:20">
      <x:c r="A30" s="14">
        <x:v>18</x:v>
      </x:c>
      <x:c r="B30" s="12"/>
      <x:c r="C30" s="12"/>
      <x:c r="D30" s="15"/>
      <x:c r="E30" s="16"/>
      <x:c r="F30" s="11"/>
      <x:c r="G30" s="12"/>
      <x:c r="H30" s="12"/>
      <x:c r="I30" s="15"/>
      <x:c r="J30" s="16"/>
      <x:c r="K30" s="11"/>
      <x:c r="L30" s="11"/>
      <x:c r="M30" s="17">
        <x:f>IF(AND(B30&lt;&gt;"",$B$6&lt;&gt;""),IF(B30&lt;=$B$6+0.5,1,0),"")</x:f>
      </x:c>
      <x:c r="N30" s="17">
        <x:f>IF(AND(G30&lt;&gt;"",$E$6&lt;&gt;""),IF(G30&lt;=$E$6+0.5,1,0),"")</x:f>
      </x:c>
    </x:row>
    <x:row r="31" spans="1:20">
      <x:c r="A31" s="14">
        <x:v>19</x:v>
      </x:c>
      <x:c r="B31" s="12"/>
      <x:c r="C31" s="12"/>
      <x:c r="D31" s="15"/>
      <x:c r="E31" s="16"/>
      <x:c r="F31" s="11"/>
      <x:c r="G31" s="12"/>
      <x:c r="H31" s="12"/>
      <x:c r="I31" s="15"/>
      <x:c r="J31" s="16"/>
      <x:c r="K31" s="11"/>
      <x:c r="L31" s="11"/>
      <x:c r="M31" s="17">
        <x:f>IF(AND(B31&lt;&gt;"",$B$6&lt;&gt;""),IF(B31&lt;=$B$6+0.5,1,0),"")</x:f>
      </x:c>
      <x:c r="N31" s="17">
        <x:f>IF(AND(G31&lt;&gt;"",$E$6&lt;&gt;""),IF(G31&lt;=$E$6+0.5,1,0),"")</x:f>
      </x:c>
    </x:row>
    <x:row r="32" spans="1:20">
      <x:c r="A32" s="14">
        <x:v>20</x:v>
      </x:c>
      <x:c r="B32" s="12"/>
      <x:c r="C32" s="12"/>
      <x:c r="D32" s="15"/>
      <x:c r="E32" s="16"/>
      <x:c r="F32" s="11"/>
      <x:c r="G32" s="12"/>
      <x:c r="H32" s="12"/>
      <x:c r="I32" s="15"/>
      <x:c r="J32" s="16"/>
      <x:c r="K32" s="11"/>
      <x:c r="L32" s="11"/>
      <x:c r="M32" s="17">
        <x:f>IF(AND(B32&lt;&gt;"",$B$6&lt;&gt;""),IF(B32&lt;=$B$6+0.5,1,0),"")</x:f>
      </x:c>
      <x:c r="N32" s="17">
        <x:f>IF(AND(G32&lt;&gt;"",$E$6&lt;&gt;""),IF(G32&lt;=$E$6+0.5,1,0),"")</x:f>
      </x:c>
    </x:row>
    <x:row r="33" spans="1:20">
      <x:c r="A33" s="14">
        <x:v>21</x:v>
      </x:c>
      <x:c r="B33" s="12"/>
      <x:c r="C33" s="12"/>
      <x:c r="D33" s="15"/>
      <x:c r="E33" s="16"/>
      <x:c r="F33" s="11"/>
      <x:c r="G33" s="12"/>
      <x:c r="H33" s="12"/>
      <x:c r="I33" s="15"/>
      <x:c r="J33" s="16"/>
      <x:c r="K33" s="11"/>
      <x:c r="L33" s="11"/>
      <x:c r="M33" s="17">
        <x:f>IF(AND(B33&lt;&gt;"",$B$6&lt;&gt;""),IF(B33&lt;=$B$6+0.5,1,0),"")</x:f>
      </x:c>
      <x:c r="N33" s="17">
        <x:f>IF(AND(G33&lt;&gt;"",$E$6&lt;&gt;""),IF(G33&lt;=$E$6+0.5,1,0),"")</x:f>
      </x:c>
    </x:row>
    <x:row r="34" spans="1:20">
      <x:c r="A34" s="14">
        <x:v>22</x:v>
      </x:c>
      <x:c r="B34" s="12"/>
      <x:c r="C34" s="12"/>
      <x:c r="D34" s="15"/>
      <x:c r="E34" s="16"/>
      <x:c r="F34" s="11"/>
      <x:c r="G34" s="12"/>
      <x:c r="H34" s="12"/>
      <x:c r="I34" s="15"/>
      <x:c r="J34" s="16"/>
      <x:c r="K34" s="11"/>
      <x:c r="L34" s="11"/>
      <x:c r="M34" s="17">
        <x:f>IF(AND(B34&lt;&gt;"",$B$6&lt;&gt;""),IF(B34&lt;=$B$6+0.5,1,0),"")</x:f>
      </x:c>
      <x:c r="N34" s="17">
        <x:f>IF(AND(G34&lt;&gt;"",$E$6&lt;&gt;""),IF(G34&lt;=$E$6+0.5,1,0),"")</x:f>
      </x:c>
    </x:row>
    <x:row r="35" spans="1:20">
      <x:c r="A35" s="14">
        <x:v>23</x:v>
      </x:c>
      <x:c r="B35" s="12"/>
      <x:c r="C35" s="12"/>
      <x:c r="D35" s="15"/>
      <x:c r="E35" s="16"/>
      <x:c r="F35" s="11"/>
      <x:c r="G35" s="12"/>
      <x:c r="H35" s="12"/>
      <x:c r="I35" s="15"/>
      <x:c r="J35" s="16"/>
      <x:c r="K35" s="11"/>
      <x:c r="L35" s="11"/>
      <x:c r="M35" s="17">
        <x:f>IF(AND(B35&lt;&gt;"",$B$6&lt;&gt;""),IF(B35&lt;=$B$6+0.5,1,0),"")</x:f>
      </x:c>
      <x:c r="N35" s="17">
        <x:f>IF(AND(G35&lt;&gt;"",$E$6&lt;&gt;""),IF(G35&lt;=$E$6+0.5,1,0),"")</x:f>
      </x:c>
    </x:row>
    <x:row r="36" spans="1:20">
      <x:c r="A36" s="14">
        <x:v>24</x:v>
      </x:c>
      <x:c r="B36" s="12"/>
      <x:c r="C36" s="12"/>
      <x:c r="D36" s="15"/>
      <x:c r="E36" s="16"/>
      <x:c r="F36" s="11"/>
      <x:c r="G36" s="12"/>
      <x:c r="H36" s="12"/>
      <x:c r="I36" s="15"/>
      <x:c r="J36" s="16"/>
      <x:c r="K36" s="11"/>
      <x:c r="L36" s="11"/>
      <x:c r="M36" s="17">
        <x:f>IF(AND(B36&lt;&gt;"",$B$6&lt;&gt;""),IF(B36&lt;=$B$6+0.5,1,0),"")</x:f>
      </x:c>
      <x:c r="N36" s="17">
        <x:f>IF(AND(G36&lt;&gt;"",$E$6&lt;&gt;""),IF(G36&lt;=$E$6+0.5,1,0),"")</x:f>
      </x:c>
    </x:row>
    <x:row r="37" spans="1:20">
      <x:c r="A37" s="14">
        <x:v>25</x:v>
      </x:c>
      <x:c r="B37" s="12"/>
      <x:c r="C37" s="12"/>
      <x:c r="D37" s="15"/>
      <x:c r="E37" s="16"/>
      <x:c r="F37" s="11"/>
      <x:c r="G37" s="12"/>
      <x:c r="H37" s="12"/>
      <x:c r="I37" s="15"/>
      <x:c r="J37" s="16"/>
      <x:c r="K37" s="11"/>
      <x:c r="L37" s="11"/>
      <x:c r="M37" s="17">
        <x:f>IF(AND(B37&lt;&gt;"",$B$6&lt;&gt;""),IF(B37&lt;=$B$6+0.5,1,0),"")</x:f>
      </x:c>
      <x:c r="N37" s="17">
        <x:f>IF(AND(G37&lt;&gt;"",$E$6&lt;&gt;""),IF(G37&lt;=$E$6+0.5,1,0),"")</x:f>
      </x:c>
    </x:row>
    <x:row r="38" spans="1:20">
      <x:c r="A38" s="14">
        <x:v>26</x:v>
      </x:c>
      <x:c r="B38" s="12"/>
      <x:c r="C38" s="12"/>
      <x:c r="D38" s="15"/>
      <x:c r="E38" s="16"/>
      <x:c r="F38" s="11"/>
      <x:c r="G38" s="12"/>
      <x:c r="H38" s="12"/>
      <x:c r="I38" s="15"/>
      <x:c r="J38" s="16"/>
      <x:c r="K38" s="11"/>
      <x:c r="L38" s="11"/>
      <x:c r="M38" s="17">
        <x:f>IF(AND(B38&lt;&gt;"",$B$6&lt;&gt;""),IF(B38&lt;=$B$6+0.5,1,0),"")</x:f>
      </x:c>
      <x:c r="N38" s="17">
        <x:f>IF(AND(G38&lt;&gt;"",$E$6&lt;&gt;""),IF(G38&lt;=$E$6+0.5,1,0),"")</x:f>
      </x:c>
    </x:row>
    <x:row r="39" spans="1:20">
      <x:c r="A39" s="14">
        <x:v>27</x:v>
      </x:c>
      <x:c r="B39" s="12"/>
      <x:c r="C39" s="12"/>
      <x:c r="D39" s="15"/>
      <x:c r="E39" s="16"/>
      <x:c r="F39" s="11"/>
      <x:c r="G39" s="12"/>
      <x:c r="H39" s="12"/>
      <x:c r="I39" s="15"/>
      <x:c r="J39" s="16"/>
      <x:c r="K39" s="11"/>
      <x:c r="L39" s="11"/>
      <x:c r="M39" s="17">
        <x:f>IF(AND(B39&lt;&gt;"",$B$6&lt;&gt;""),IF(B39&lt;=$B$6+0.5,1,0),"")</x:f>
      </x:c>
      <x:c r="N39" s="17">
        <x:f>IF(AND(G39&lt;&gt;"",$E$6&lt;&gt;""),IF(G39&lt;=$E$6+0.5,1,0),"")</x:f>
      </x:c>
    </x:row>
    <x:row r="40" spans="1:20">
      <x:c r="A40" s="14">
        <x:v>28</x:v>
      </x:c>
      <x:c r="B40" s="12"/>
      <x:c r="C40" s="12"/>
      <x:c r="D40" s="15"/>
      <x:c r="E40" s="16"/>
      <x:c r="F40" s="11"/>
      <x:c r="G40" s="12"/>
      <x:c r="H40" s="12"/>
      <x:c r="I40" s="15"/>
      <x:c r="J40" s="16"/>
      <x:c r="K40" s="11"/>
      <x:c r="L40" s="11"/>
      <x:c r="M40" s="17">
        <x:f>IF(AND(B40&lt;&gt;"",$B$6&lt;&gt;""),IF(B40&lt;=$B$6+0.5,1,0),"")</x:f>
      </x:c>
      <x:c r="N40" s="17">
        <x:f>IF(AND(G40&lt;&gt;"",$E$6&lt;&gt;""),IF(G40&lt;=$E$6+0.5,1,0),"")</x:f>
      </x:c>
    </x:row>
    <x:row r="41" spans="1:20">
      <x:c r="A41" s="14">
        <x:v>29</x:v>
      </x:c>
      <x:c r="B41" s="12"/>
      <x:c r="C41" s="12"/>
      <x:c r="D41" s="15"/>
      <x:c r="E41" s="16"/>
      <x:c r="F41" s="11"/>
      <x:c r="G41" s="12"/>
      <x:c r="H41" s="12"/>
      <x:c r="I41" s="15"/>
      <x:c r="J41" s="16"/>
      <x:c r="K41" s="11"/>
      <x:c r="L41" s="11"/>
      <x:c r="M41" s="17">
        <x:f>IF(AND(B41&lt;&gt;"",$B$6&lt;&gt;""),IF(B41&lt;=$B$6+0.5,1,0),"")</x:f>
      </x:c>
      <x:c r="N41" s="17">
        <x:f>IF(AND(G41&lt;&gt;"",$E$6&lt;&gt;""),IF(G41&lt;=$E$6+0.5,1,0),"")</x:f>
      </x:c>
    </x:row>
    <x:row r="42" spans="1:20">
      <x:c r="A42" s="14">
        <x:v>30</x:v>
      </x:c>
      <x:c r="B42" s="12"/>
      <x:c r="C42" s="12"/>
      <x:c r="D42" s="15"/>
      <x:c r="E42" s="16"/>
      <x:c r="F42" s="11"/>
      <x:c r="G42" s="12"/>
      <x:c r="H42" s="12"/>
      <x:c r="I42" s="15"/>
      <x:c r="J42" s="16"/>
      <x:c r="K42" s="11"/>
      <x:c r="L42" s="11"/>
      <x:c r="M42" s="17">
        <x:f>IF(AND(B42&lt;&gt;"",$B$6&lt;&gt;""),IF(B42&lt;=$B$6+0.5,1,0),"")</x:f>
      </x:c>
      <x:c r="N42" s="17">
        <x:f>IF(AND(G42&lt;&gt;"",$E$6&lt;&gt;""),IF(G42&lt;=$E$6+0.5,1,0),"")</x:f>
      </x:c>
    </x:row>
    <x:row r="43" spans="1:20">
      <x:c r="A43" s="14">
        <x:v>31</x:v>
      </x:c>
      <x:c r="B43" s="12"/>
      <x:c r="C43" s="12"/>
      <x:c r="D43" s="15"/>
      <x:c r="E43" s="16"/>
      <x:c r="F43" s="11"/>
      <x:c r="G43" s="12"/>
      <x:c r="H43" s="12"/>
      <x:c r="I43" s="15"/>
      <x:c r="J43" s="16"/>
      <x:c r="K43" s="11"/>
      <x:c r="L43" s="11"/>
      <x:c r="M43" s="17">
        <x:f>IF(AND(B43&lt;&gt;"",$B$6&lt;&gt;""),IF(B43&lt;=$B$6+0.5,1,0),"")</x:f>
      </x:c>
      <x:c r="N43" s="17">
        <x:f>IF(AND(G43&lt;&gt;"",$E$6&lt;&gt;""),IF(G43&lt;=$E$6+0.5,1,0),"")</x:f>
      </x:c>
    </x:row>
    <x:row r="44" spans="1:20">
      <x:c r="A44" s="14">
        <x:v>32</x:v>
      </x:c>
      <x:c r="B44" s="12"/>
      <x:c r="C44" s="12"/>
      <x:c r="D44" s="15"/>
      <x:c r="E44" s="16"/>
      <x:c r="F44" s="11"/>
      <x:c r="G44" s="12"/>
      <x:c r="H44" s="12"/>
      <x:c r="I44" s="15"/>
      <x:c r="J44" s="16"/>
      <x:c r="K44" s="11"/>
      <x:c r="L44" s="11"/>
      <x:c r="M44" s="17">
        <x:f>IF(AND(B44&lt;&gt;"",$B$6&lt;&gt;""),IF(B44&lt;=$B$6+0.5,1,0),"")</x:f>
      </x:c>
      <x:c r="N44" s="17">
        <x:f>IF(AND(G44&lt;&gt;"",$E$6&lt;&gt;""),IF(G44&lt;=$E$6+0.5,1,0),"")</x:f>
      </x:c>
    </x:row>
    <x:row r="45" spans="1:20">
      <x:c r="A45" s="14">
        <x:v>33</x:v>
      </x:c>
      <x:c r="B45" s="12"/>
      <x:c r="C45" s="12"/>
      <x:c r="D45" s="15"/>
      <x:c r="E45" s="16"/>
      <x:c r="F45" s="11"/>
      <x:c r="G45" s="12"/>
      <x:c r="H45" s="12"/>
      <x:c r="I45" s="15"/>
      <x:c r="J45" s="16"/>
      <x:c r="K45" s="11"/>
      <x:c r="L45" s="11"/>
      <x:c r="M45" s="17">
        <x:f>IF(AND(B45&lt;&gt;"",$B$6&lt;&gt;""),IF(B45&lt;=$B$6+0.5,1,0),"")</x:f>
      </x:c>
      <x:c r="N45" s="17">
        <x:f>IF(AND(G45&lt;&gt;"",$E$6&lt;&gt;""),IF(G45&lt;=$E$6+0.5,1,0),"")</x:f>
      </x:c>
    </x:row>
    <x:row r="46" spans="1:20">
      <x:c r="A46" s="14">
        <x:v>34</x:v>
      </x:c>
      <x:c r="B46" s="12"/>
      <x:c r="C46" s="12"/>
      <x:c r="D46" s="15"/>
      <x:c r="E46" s="16"/>
      <x:c r="F46" s="11"/>
      <x:c r="G46" s="12"/>
      <x:c r="H46" s="12"/>
      <x:c r="I46" s="15"/>
      <x:c r="J46" s="16"/>
      <x:c r="K46" s="11"/>
      <x:c r="L46" s="11"/>
      <x:c r="M46" s="17">
        <x:f>IF(AND(B46&lt;&gt;"",$B$6&lt;&gt;""),IF(B46&lt;=$B$6+0.5,1,0),"")</x:f>
      </x:c>
      <x:c r="N46" s="17">
        <x:f>IF(AND(G46&lt;&gt;"",$E$6&lt;&gt;""),IF(G46&lt;=$E$6+0.5,1,0),"")</x:f>
      </x:c>
    </x:row>
    <x:row r="47" spans="1:20">
      <x:c r="A47" s="14">
        <x:v>35</x:v>
      </x:c>
      <x:c r="B47" s="12"/>
      <x:c r="C47" s="12"/>
      <x:c r="D47" s="15"/>
      <x:c r="E47" s="16"/>
      <x:c r="F47" s="11"/>
      <x:c r="G47" s="12"/>
      <x:c r="H47" s="12"/>
      <x:c r="I47" s="15"/>
      <x:c r="J47" s="16"/>
      <x:c r="K47" s="11"/>
      <x:c r="L47" s="11"/>
      <x:c r="M47" s="17">
        <x:f>IF(AND(B47&lt;&gt;"",$B$6&lt;&gt;""),IF(B47&lt;=$B$6+0.5,1,0),"")</x:f>
      </x:c>
      <x:c r="N47" s="17">
        <x:f>IF(AND(G47&lt;&gt;"",$E$6&lt;&gt;""),IF(G47&lt;=$E$6+0.5,1,0),"")</x:f>
      </x:c>
    </x:row>
    <x:row r="48" spans="1:20">
      <x:c r="A48" s="14">
        <x:v>36</x:v>
      </x:c>
      <x:c r="B48" s="12"/>
      <x:c r="C48" s="12"/>
      <x:c r="D48" s="15"/>
      <x:c r="E48" s="16"/>
      <x:c r="F48" s="11"/>
      <x:c r="G48" s="12"/>
      <x:c r="H48" s="12"/>
      <x:c r="I48" s="15"/>
      <x:c r="J48" s="16"/>
      <x:c r="K48" s="11"/>
      <x:c r="L48" s="11"/>
      <x:c r="M48" s="17">
        <x:f>IF(AND(B48&lt;&gt;"",$B$6&lt;&gt;""),IF(B48&lt;=$B$6+0.5,1,0),"")</x:f>
      </x:c>
      <x:c r="N48" s="17">
        <x:f>IF(AND(G48&lt;&gt;"",$E$6&lt;&gt;""),IF(G48&lt;=$E$6+0.5,1,0),"")</x:f>
      </x:c>
    </x:row>
    <x:row r="49" spans="1:20">
      <x:c r="A49" s="14">
        <x:v>37</x:v>
      </x:c>
      <x:c r="B49" s="12"/>
      <x:c r="C49" s="12"/>
      <x:c r="D49" s="15"/>
      <x:c r="E49" s="16"/>
      <x:c r="F49" s="11"/>
      <x:c r="G49" s="12"/>
      <x:c r="H49" s="12"/>
      <x:c r="I49" s="15"/>
      <x:c r="J49" s="16"/>
      <x:c r="K49" s="11"/>
      <x:c r="L49" s="11"/>
      <x:c r="M49" s="17">
        <x:f>IF(AND(B49&lt;&gt;"",$B$6&lt;&gt;""),IF(B49&lt;=$B$6+0.5,1,0),"")</x:f>
      </x:c>
      <x:c r="N49" s="17">
        <x:f>IF(AND(G49&lt;&gt;"",$E$6&lt;&gt;""),IF(G49&lt;=$E$6+0.5,1,0),"")</x:f>
      </x:c>
    </x:row>
    <x:row r="50" spans="1:20">
      <x:c r="A50" s="14">
        <x:v>38</x:v>
      </x:c>
      <x:c r="B50" s="12"/>
      <x:c r="C50" s="12"/>
      <x:c r="D50" s="15"/>
      <x:c r="E50" s="16"/>
      <x:c r="F50" s="11"/>
      <x:c r="G50" s="12"/>
      <x:c r="H50" s="12"/>
      <x:c r="I50" s="15"/>
      <x:c r="J50" s="16"/>
      <x:c r="K50" s="11"/>
      <x:c r="L50" s="11"/>
      <x:c r="M50" s="17">
        <x:f>IF(AND(B50&lt;&gt;"",$B$6&lt;&gt;""),IF(B50&lt;=$B$6+0.5,1,0),"")</x:f>
      </x:c>
      <x:c r="N50" s="17">
        <x:f>IF(AND(G50&lt;&gt;"",$E$6&lt;&gt;""),IF(G50&lt;=$E$6+0.5,1,0),"")</x:f>
      </x:c>
    </x:row>
    <x:row r="51" spans="1:20">
      <x:c r="A51" s="14">
        <x:v>39</x:v>
      </x:c>
      <x:c r="B51" s="12"/>
      <x:c r="C51" s="12"/>
      <x:c r="D51" s="15"/>
      <x:c r="E51" s="16"/>
      <x:c r="F51" s="11"/>
      <x:c r="G51" s="12"/>
      <x:c r="H51" s="12"/>
      <x:c r="I51" s="15"/>
      <x:c r="J51" s="16"/>
      <x:c r="K51" s="11"/>
      <x:c r="L51" s="11"/>
      <x:c r="M51" s="17">
        <x:f>IF(AND(B51&lt;&gt;"",$B$6&lt;&gt;""),IF(B51&lt;=$B$6+0.5,1,0),"")</x:f>
      </x:c>
      <x:c r="N51" s="17">
        <x:f>IF(AND(G51&lt;&gt;"",$E$6&lt;&gt;""),IF(G51&lt;=$E$6+0.5,1,0),"")</x:f>
      </x:c>
    </x:row>
    <x:row r="52" spans="1:20">
      <x:c r="A52" s="14">
        <x:v>40</x:v>
      </x:c>
      <x:c r="B52" s="12"/>
      <x:c r="C52" s="12"/>
      <x:c r="D52" s="15"/>
      <x:c r="E52" s="16"/>
      <x:c r="F52" s="11"/>
      <x:c r="G52" s="12"/>
      <x:c r="H52" s="12"/>
      <x:c r="I52" s="15"/>
      <x:c r="J52" s="16"/>
      <x:c r="K52" s="11"/>
      <x:c r="L52" s="11"/>
      <x:c r="M52" s="17">
        <x:f>IF(AND(B52&lt;&gt;"",$B$6&lt;&gt;""),IF(B52&lt;=$B$6+0.5,1,0),"")</x:f>
      </x:c>
      <x:c r="N52" s="17">
        <x:f>IF(AND(G52&lt;&gt;"",$E$6&lt;&gt;""),IF(G52&lt;=$E$6+0.5,1,0),"")</x:f>
      </x:c>
    </x:row>
    <x:row r="53" spans="1:20">
      <x:c r="A53" s="14">
        <x:v>41</x:v>
      </x:c>
      <x:c r="B53" s="12"/>
      <x:c r="C53" s="12"/>
      <x:c r="D53" s="15"/>
      <x:c r="E53" s="16"/>
      <x:c r="F53" s="11"/>
      <x:c r="G53" s="12"/>
      <x:c r="H53" s="12"/>
      <x:c r="I53" s="15"/>
      <x:c r="J53" s="16"/>
      <x:c r="K53" s="11"/>
      <x:c r="L53" s="11"/>
      <x:c r="M53" s="17">
        <x:f>IF(AND(B53&lt;&gt;"",$B$6&lt;&gt;""),IF(B53&lt;=$B$6+0.5,1,0),"")</x:f>
      </x:c>
      <x:c r="N53" s="17">
        <x:f>IF(AND(G53&lt;&gt;"",$E$6&lt;&gt;""),IF(G53&lt;=$E$6+0.5,1,0),"")</x:f>
      </x:c>
    </x:row>
    <x:row r="54" spans="1:20">
      <x:c r="A54" s="14">
        <x:v>42</x:v>
      </x:c>
      <x:c r="B54" s="12"/>
      <x:c r="C54" s="12"/>
      <x:c r="D54" s="15"/>
      <x:c r="E54" s="16"/>
      <x:c r="F54" s="11"/>
      <x:c r="G54" s="12"/>
      <x:c r="H54" s="12"/>
      <x:c r="I54" s="15"/>
      <x:c r="J54" s="16"/>
      <x:c r="K54" s="11"/>
      <x:c r="L54" s="11"/>
      <x:c r="M54" s="17">
        <x:f>IF(AND(B54&lt;&gt;"",$B$6&lt;&gt;""),IF(B54&lt;=$B$6+0.5,1,0),"")</x:f>
      </x:c>
      <x:c r="N54" s="17">
        <x:f>IF(AND(G54&lt;&gt;"",$E$6&lt;&gt;""),IF(G54&lt;=$E$6+0.5,1,0),"")</x:f>
      </x:c>
    </x:row>
    <x:row r="55" spans="1:20">
      <x:c r="A55" s="14">
        <x:v>43</x:v>
      </x:c>
      <x:c r="B55" s="12"/>
      <x:c r="C55" s="12"/>
      <x:c r="D55" s="15"/>
      <x:c r="E55" s="16"/>
      <x:c r="F55" s="11"/>
      <x:c r="G55" s="12"/>
      <x:c r="H55" s="12"/>
      <x:c r="I55" s="15"/>
      <x:c r="J55" s="16"/>
      <x:c r="K55" s="11"/>
      <x:c r="L55" s="11"/>
      <x:c r="M55" s="17">
        <x:f>IF(AND(B55&lt;&gt;"",$B$6&lt;&gt;""),IF(B55&lt;=$B$6+0.5,1,0),"")</x:f>
      </x:c>
      <x:c r="N55" s="17">
        <x:f>IF(AND(G55&lt;&gt;"",$E$6&lt;&gt;""),IF(G55&lt;=$E$6+0.5,1,0),"")</x:f>
      </x:c>
    </x:row>
    <x:row r="56" spans="1:20">
      <x:c r="A56" s="14">
        <x:v>44</x:v>
      </x:c>
      <x:c r="B56" s="12"/>
      <x:c r="C56" s="12"/>
      <x:c r="D56" s="15"/>
      <x:c r="E56" s="16"/>
      <x:c r="F56" s="11"/>
      <x:c r="G56" s="12"/>
      <x:c r="H56" s="12"/>
      <x:c r="I56" s="15"/>
      <x:c r="J56" s="16"/>
      <x:c r="K56" s="11"/>
      <x:c r="L56" s="11"/>
      <x:c r="M56" s="17">
        <x:f>IF(AND(B56&lt;&gt;"",$B$6&lt;&gt;""),IF(B56&lt;=$B$6+0.5,1,0),"")</x:f>
      </x:c>
      <x:c r="N56" s="17">
        <x:f>IF(AND(G56&lt;&gt;"",$E$6&lt;&gt;""),IF(G56&lt;=$E$6+0.5,1,0),"")</x:f>
      </x:c>
    </x:row>
    <x:row r="57" spans="1:20">
      <x:c r="A57" s="14">
        <x:v>45</x:v>
      </x:c>
      <x:c r="B57" s="12"/>
      <x:c r="C57" s="12"/>
      <x:c r="D57" s="15"/>
      <x:c r="E57" s="16"/>
      <x:c r="F57" s="11"/>
      <x:c r="G57" s="12"/>
      <x:c r="H57" s="12"/>
      <x:c r="I57" s="15"/>
      <x:c r="J57" s="16"/>
      <x:c r="K57" s="11"/>
      <x:c r="L57" s="11"/>
      <x:c r="M57" s="17">
        <x:f>IF(AND(B57&lt;&gt;"",$B$6&lt;&gt;""),IF(B57&lt;=$B$6+0.5,1,0),"")</x:f>
      </x:c>
      <x:c r="N57" s="17">
        <x:f>IF(AND(G57&lt;&gt;"",$E$6&lt;&gt;""),IF(G57&lt;=$E$6+0.5,1,0),"")</x:f>
      </x:c>
    </x:row>
    <x:row r="58" spans="1:20">
      <x:c r="A58" s="14">
        <x:v>46</x:v>
      </x:c>
      <x:c r="B58" s="12"/>
      <x:c r="C58" s="12"/>
      <x:c r="D58" s="15"/>
      <x:c r="E58" s="16"/>
      <x:c r="F58" s="11"/>
      <x:c r="G58" s="12"/>
      <x:c r="H58" s="12"/>
      <x:c r="I58" s="15"/>
      <x:c r="J58" s="16"/>
      <x:c r="K58" s="11"/>
      <x:c r="L58" s="11"/>
      <x:c r="M58" s="17">
        <x:f>IF(AND(B58&lt;&gt;"",$B$6&lt;&gt;""),IF(B58&lt;=$B$6+0.5,1,0),"")</x:f>
      </x:c>
      <x:c r="N58" s="17">
        <x:f>IF(AND(G58&lt;&gt;"",$E$6&lt;&gt;""),IF(G58&lt;=$E$6+0.5,1,0),"")</x:f>
      </x:c>
    </x:row>
    <x:row r="59" spans="1:20">
      <x:c r="A59" s="14">
        <x:v>47</x:v>
      </x:c>
      <x:c r="B59" s="12"/>
      <x:c r="C59" s="12"/>
      <x:c r="D59" s="15"/>
      <x:c r="E59" s="16"/>
      <x:c r="F59" s="11"/>
      <x:c r="G59" s="12"/>
      <x:c r="H59" s="12"/>
      <x:c r="I59" s="15"/>
      <x:c r="J59" s="16"/>
      <x:c r="K59" s="11"/>
      <x:c r="L59" s="11"/>
      <x:c r="M59" s="17">
        <x:f>IF(AND(B59&lt;&gt;"",$B$6&lt;&gt;""),IF(B59&lt;=$B$6+0.5,1,0),"")</x:f>
      </x:c>
      <x:c r="N59" s="17">
        <x:f>IF(AND(G59&lt;&gt;"",$E$6&lt;&gt;""),IF(G59&lt;=$E$6+0.5,1,0),"")</x:f>
      </x:c>
    </x:row>
    <x:row r="60" spans="1:20">
      <x:c r="A60" s="14">
        <x:v>48</x:v>
      </x:c>
      <x:c r="B60" s="12"/>
      <x:c r="C60" s="12"/>
      <x:c r="D60" s="15"/>
      <x:c r="E60" s="16"/>
      <x:c r="F60" s="11"/>
      <x:c r="G60" s="12"/>
      <x:c r="H60" s="12"/>
      <x:c r="I60" s="15"/>
      <x:c r="J60" s="16"/>
      <x:c r="K60" s="11"/>
      <x:c r="L60" s="11"/>
      <x:c r="M60" s="17">
        <x:f>IF(AND(B60&lt;&gt;"",$B$6&lt;&gt;""),IF(B60&lt;=$B$6+0.5,1,0),"")</x:f>
      </x:c>
      <x:c r="N60" s="17">
        <x:f>IF(AND(G60&lt;&gt;"",$E$6&lt;&gt;""),IF(G60&lt;=$E$6+0.5,1,0),"")</x:f>
      </x:c>
    </x:row>
    <x:row r="61" spans="1:20">
      <x:c r="A61" s="14">
        <x:v>49</x:v>
      </x:c>
      <x:c r="B61" s="12"/>
      <x:c r="C61" s="12"/>
      <x:c r="D61" s="15"/>
      <x:c r="E61" s="16"/>
      <x:c r="F61" s="11"/>
      <x:c r="G61" s="12"/>
      <x:c r="H61" s="12"/>
      <x:c r="I61" s="15"/>
      <x:c r="J61" s="16"/>
      <x:c r="K61" s="11"/>
      <x:c r="L61" s="11"/>
      <x:c r="M61" s="17">
        <x:f>IF(AND(B61&lt;&gt;"",$B$6&lt;&gt;""),IF(B61&lt;=$B$6+0.5,1,0),"")</x:f>
      </x:c>
      <x:c r="N61" s="17">
        <x:f>IF(AND(G61&lt;&gt;"",$E$6&lt;&gt;""),IF(G61&lt;=$E$6+0.5,1,0),"")</x:f>
      </x:c>
    </x:row>
    <x:row r="62" spans="1:20">
      <x:c r="A62" s="14">
        <x:v>50</x:v>
      </x:c>
      <x:c r="B62" s="12"/>
      <x:c r="C62" s="12"/>
      <x:c r="D62" s="15"/>
      <x:c r="E62" s="16"/>
      <x:c r="F62" s="11"/>
      <x:c r="G62" s="12"/>
      <x:c r="H62" s="12"/>
      <x:c r="I62" s="15"/>
      <x:c r="J62" s="16"/>
      <x:c r="K62" s="11"/>
      <x:c r="L62" s="11"/>
      <x:c r="M62" s="17">
        <x:f>IF(AND(B62&lt;&gt;"",$B$6&lt;&gt;""),IF(B62&lt;=$B$6+0.5,1,0),"")</x:f>
      </x:c>
      <x:c r="N62" s="17">
        <x:f>IF(AND(G62&lt;&gt;"",$E$6&lt;&gt;""),IF(G62&lt;=$E$6+0.5,1,0),"")</x:f>
      </x:c>
    </x:row>
    <x:row r="63" spans="1:20">
      <x:c r="A63" s="14">
        <x:v>51</x:v>
      </x:c>
      <x:c r="B63" s="12"/>
      <x:c r="C63" s="12"/>
      <x:c r="D63" s="15"/>
      <x:c r="E63" s="16"/>
      <x:c r="F63" s="11"/>
      <x:c r="G63" s="12"/>
      <x:c r="H63" s="12"/>
      <x:c r="I63" s="15"/>
      <x:c r="J63" s="16"/>
      <x:c r="K63" s="11"/>
      <x:c r="L63" s="11"/>
      <x:c r="M63" s="17">
        <x:f>IF(AND(B63&lt;&gt;"",$B$6&lt;&gt;""),IF(B63&lt;=$B$6+0.5,1,0),"")</x:f>
      </x:c>
      <x:c r="N63" s="17">
        <x:f>IF(AND(G63&lt;&gt;"",$E$6&lt;&gt;""),IF(G63&lt;=$E$6+0.5,1,0),"")</x:f>
      </x:c>
    </x:row>
    <x:row r="64" spans="1:20">
      <x:c r="A64" s="14">
        <x:v>52</x:v>
      </x:c>
      <x:c r="B64" s="12"/>
      <x:c r="C64" s="12"/>
      <x:c r="D64" s="15"/>
      <x:c r="E64" s="16"/>
      <x:c r="F64" s="11"/>
      <x:c r="G64" s="12"/>
      <x:c r="H64" s="12"/>
      <x:c r="I64" s="15"/>
      <x:c r="J64" s="16"/>
      <x:c r="K64" s="11"/>
      <x:c r="L64" s="11"/>
      <x:c r="M64" s="17">
        <x:f>IF(AND(B64&lt;&gt;"",$B$6&lt;&gt;""),IF(B64&lt;=$B$6+0.5,1,0),"")</x:f>
      </x:c>
      <x:c r="N64" s="17">
        <x:f>IF(AND(G64&lt;&gt;"",$E$6&lt;&gt;""),IF(G64&lt;=$E$6+0.5,1,0),"")</x:f>
      </x:c>
    </x:row>
    <x:row r="65" spans="1:20">
      <x:c r="A65" s="14">
        <x:v>53</x:v>
      </x:c>
      <x:c r="B65" s="12"/>
      <x:c r="C65" s="12"/>
      <x:c r="D65" s="15"/>
      <x:c r="E65" s="16"/>
      <x:c r="F65" s="11"/>
      <x:c r="G65" s="12"/>
      <x:c r="H65" s="12"/>
      <x:c r="I65" s="15"/>
      <x:c r="J65" s="16"/>
      <x:c r="K65" s="11"/>
      <x:c r="L65" s="11"/>
      <x:c r="M65" s="17">
        <x:f>IF(AND(B65&lt;&gt;"",$B$6&lt;&gt;""),IF(B65&lt;=$B$6+0.5,1,0),"")</x:f>
      </x:c>
      <x:c r="N65" s="17">
        <x:f>IF(AND(G65&lt;&gt;"",$E$6&lt;&gt;""),IF(G65&lt;=$E$6+0.5,1,0),"")</x:f>
      </x:c>
    </x:row>
    <x:row r="66" spans="1:20">
      <x:c r="A66" s="14">
        <x:v>54</x:v>
      </x:c>
      <x:c r="B66" s="12"/>
      <x:c r="C66" s="12"/>
      <x:c r="D66" s="15"/>
      <x:c r="E66" s="16"/>
      <x:c r="F66" s="11"/>
      <x:c r="G66" s="12"/>
      <x:c r="H66" s="12"/>
      <x:c r="I66" s="15"/>
      <x:c r="J66" s="16"/>
      <x:c r="K66" s="11"/>
      <x:c r="L66" s="11"/>
      <x:c r="M66" s="17">
        <x:f>IF(AND(B66&lt;&gt;"",$B$6&lt;&gt;""),IF(B66&lt;=$B$6+0.5,1,0),"")</x:f>
      </x:c>
      <x:c r="N66" s="17">
        <x:f>IF(AND(G66&lt;&gt;"",$E$6&lt;&gt;""),IF(G66&lt;=$E$6+0.5,1,0),"")</x:f>
      </x:c>
    </x:row>
    <x:row r="67" spans="1:20">
      <x:c r="A67" s="14">
        <x:v>55</x:v>
      </x:c>
      <x:c r="B67" s="12"/>
      <x:c r="C67" s="12"/>
      <x:c r="D67" s="15"/>
      <x:c r="E67" s="16"/>
      <x:c r="F67" s="11"/>
      <x:c r="G67" s="12"/>
      <x:c r="H67" s="12"/>
      <x:c r="I67" s="15"/>
      <x:c r="J67" s="16"/>
      <x:c r="K67" s="11"/>
      <x:c r="L67" s="11"/>
      <x:c r="M67" s="17">
        <x:f>IF(AND(B67&lt;&gt;"",$B$6&lt;&gt;""),IF(B67&lt;=$B$6+0.5,1,0),"")</x:f>
      </x:c>
      <x:c r="N67" s="17">
        <x:f>IF(AND(G67&lt;&gt;"",$E$6&lt;&gt;""),IF(G67&lt;=$E$6+0.5,1,0),"")</x:f>
      </x:c>
    </x:row>
    <x:row r="68" spans="1:20">
      <x:c r="A68" s="14">
        <x:v>56</x:v>
      </x:c>
      <x:c r="B68" s="12"/>
      <x:c r="C68" s="12"/>
      <x:c r="D68" s="15"/>
      <x:c r="E68" s="16"/>
      <x:c r="F68" s="11"/>
      <x:c r="G68" s="12"/>
      <x:c r="H68" s="12"/>
      <x:c r="I68" s="15"/>
      <x:c r="J68" s="16"/>
      <x:c r="K68" s="11"/>
      <x:c r="L68" s="11"/>
      <x:c r="M68" s="17">
        <x:f>IF(AND(B68&lt;&gt;"",$B$6&lt;&gt;""),IF(B68&lt;=$B$6+0.5,1,0),"")</x:f>
      </x:c>
      <x:c r="N68" s="17">
        <x:f>IF(AND(G68&lt;&gt;"",$E$6&lt;&gt;""),IF(G68&lt;=$E$6+0.5,1,0),"")</x:f>
      </x:c>
    </x:row>
    <x:row r="69" spans="1:20">
      <x:c r="A69" s="14">
        <x:v>57</x:v>
      </x:c>
      <x:c r="B69" s="12"/>
      <x:c r="C69" s="12"/>
      <x:c r="D69" s="15"/>
      <x:c r="E69" s="16"/>
      <x:c r="F69" s="11"/>
      <x:c r="G69" s="12"/>
      <x:c r="H69" s="12"/>
      <x:c r="I69" s="15"/>
      <x:c r="J69" s="16"/>
      <x:c r="K69" s="11"/>
      <x:c r="L69" s="11"/>
      <x:c r="M69" s="17">
        <x:f>IF(AND(B69&lt;&gt;"",$B$6&lt;&gt;""),IF(B69&lt;=$B$6+0.5,1,0),"")</x:f>
      </x:c>
      <x:c r="N69" s="17">
        <x:f>IF(AND(G69&lt;&gt;"",$E$6&lt;&gt;""),IF(G69&lt;=$E$6+0.5,1,0),"")</x:f>
      </x:c>
    </x:row>
    <x:row r="70" spans="1:20">
      <x:c r="A70" s="14">
        <x:v>58</x:v>
      </x:c>
      <x:c r="B70" s="12"/>
      <x:c r="C70" s="12"/>
      <x:c r="D70" s="15"/>
      <x:c r="E70" s="16"/>
      <x:c r="F70" s="11"/>
      <x:c r="G70" s="12"/>
      <x:c r="H70" s="12"/>
      <x:c r="I70" s="15"/>
      <x:c r="J70" s="16"/>
      <x:c r="K70" s="11"/>
      <x:c r="L70" s="11"/>
      <x:c r="M70" s="17">
        <x:f>IF(AND(B70&lt;&gt;"",$B$6&lt;&gt;""),IF(B70&lt;=$B$6+0.5,1,0),"")</x:f>
      </x:c>
      <x:c r="N70" s="17">
        <x:f>IF(AND(G70&lt;&gt;"",$E$6&lt;&gt;""),IF(G70&lt;=$E$6+0.5,1,0),"")</x:f>
      </x:c>
    </x:row>
    <x:row r="71" spans="1:20">
      <x:c r="A71" s="14">
        <x:v>59</x:v>
      </x:c>
      <x:c r="B71" s="12"/>
      <x:c r="C71" s="12"/>
      <x:c r="D71" s="15"/>
      <x:c r="E71" s="16"/>
      <x:c r="F71" s="11"/>
      <x:c r="G71" s="12"/>
      <x:c r="H71" s="12"/>
      <x:c r="I71" s="15"/>
      <x:c r="J71" s="16"/>
      <x:c r="K71" s="11"/>
      <x:c r="L71" s="11"/>
      <x:c r="M71" s="17">
        <x:f>IF(AND(B71&lt;&gt;"",$B$6&lt;&gt;""),IF(B71&lt;=$B$6+0.5,1,0),"")</x:f>
      </x:c>
      <x:c r="N71" s="17">
        <x:f>IF(AND(G71&lt;&gt;"",$E$6&lt;&gt;""),IF(G71&lt;=$E$6+0.5,1,0),"")</x:f>
      </x:c>
    </x:row>
    <x:row r="72" spans="1:20">
      <x:c r="A72" s="14">
        <x:v>60</x:v>
      </x:c>
      <x:c r="B72" s="12"/>
      <x:c r="C72" s="12"/>
      <x:c r="D72" s="15"/>
      <x:c r="E72" s="16"/>
      <x:c r="F72" s="11"/>
      <x:c r="G72" s="12"/>
      <x:c r="H72" s="12"/>
      <x:c r="I72" s="15"/>
      <x:c r="J72" s="16"/>
      <x:c r="K72" s="11"/>
      <x:c r="L72" s="11"/>
      <x:c r="M72" s="17">
        <x:f>IF(AND(B72&lt;&gt;"",$B$6&lt;&gt;""),IF(B72&lt;=$B$6+0.5,1,0),"")</x:f>
      </x:c>
      <x:c r="N72" s="17">
        <x:f>IF(AND(G72&lt;&gt;"",$E$6&lt;&gt;""),IF(G72&lt;=$E$6+0.5,1,0),"")</x:f>
      </x:c>
    </x:row>
  </x:sheetData>
  <x:mergeCells count="12">
    <x:mergeCell ref="B4:C4"/>
    <x:mergeCell ref="E4:F4"/>
    <x:mergeCell ref="B5:C5"/>
    <x:mergeCell ref="E5:F5"/>
    <x:mergeCell ref="B6:C6"/>
    <x:mergeCell ref="E6:F6"/>
    <x:mergeCell ref="B7:C7"/>
    <x:mergeCell ref="E7:F7"/>
    <x:mergeCell ref="B8:C8"/>
    <x:mergeCell ref="E8:F8"/>
    <x:mergeCell ref="B9:C9"/>
    <x:mergeCell ref="E9:F9"/>
  </x:mergeCells>
  <x:dataValidations count="1">
    <x:dataValidation type="list" errorStyle="stop" operator="between" allowBlank="1" showDropDown="0" showInputMessage="1" showErrorMessage="1" errorTitle="" error="" promptTitle="" prompt="" sqref="B7:B7">
      <x:formula1>"尽快,按速率,按时长"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20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74"/>
  <x:sheetViews>
    <x:sheetView workbookViewId="0">
      <x:pane xSplit="1" ySplit="13" topLeftCell="B14" activePane="bottomRight" state="frozenSplit"/>
    </x:sheetView>
  </x:sheetViews>
  <x:sheetFormatPr defaultRowHeight="15"/>
  <x:cols>
    <x:col min="1" max="1" width="10.710625" style="0" customWidth="1"/>
    <x:col min="2" max="2" width="11.710625" style="0" customWidth="1"/>
    <x:col min="3" max="4" width="10.710625" style="0" customWidth="1"/>
    <x:col min="5" max="5" width="11.710625" style="0" customWidth="1"/>
    <x:col min="6" max="6" width="9.710625" style="0" customWidth="1"/>
    <x:col min="7" max="7" width="11.710625" style="0" customWidth="1"/>
    <x:col min="8" max="9" width="10.710625" style="0" customWidth="1"/>
    <x:col min="10" max="10" width="11.710625" style="0" customWidth="1"/>
    <x:col min="11" max="11" width="9.710625" style="0" customWidth="1"/>
    <x:col min="12" max="12" width="22.710625" style="0" customWidth="1"/>
    <x:col min="13" max="14" width="10.710625" style="0" customWidth="1"/>
    <x:col min="15" max="15" width="9.140625" style="0" customWidth="1"/>
    <x:col min="16" max="16" width="36.710625" style="0" customWidth="1"/>
    <x:col min="17" max="17" width="14.710625" style="0" customWidth="1"/>
    <x:col min="18" max="20" width="9.140625" style="0" customWidth="1"/>
  </x:cols>
  <x:sheetData>
    <x:row r="1" spans="1:20">
      <x:c r="A1" s="1" t="s">
        <x:v>69</x:v>
      </x:c>
    </x:row>
    <x:row r="2" spans="1:20">
      <x:c r="A2" s="2" t="s">
        <x:v>70</x:v>
      </x:c>
    </x:row>
    <x:row r="4" spans="1:20">
      <x:c r="A4" s="8" t="s">
        <x:v>25</x:v>
      </x:c>
      <x:c r="B4" s="9"/>
      <x:c r="C4" s="10"/>
      <x:c r="D4" s="8" t="s">
        <x:v>26</x:v>
      </x:c>
      <x:c r="E4" s="11"/>
      <x:c r="F4" s="10"/>
    </x:row>
    <x:row r="5" spans="1:20">
      <x:c r="A5" s="8" t="s">
        <x:v>27</x:v>
      </x:c>
      <x:c r="B5" s="12"/>
      <x:c r="C5" s="10"/>
      <x:c r="D5" s="8" t="s">
        <x:v>28</x:v>
      </x:c>
      <x:c r="E5" s="12"/>
      <x:c r="F5" s="10"/>
    </x:row>
    <x:row r="6" spans="1:20">
      <x:c r="A6" s="8" t="s">
        <x:v>71</x:v>
      </x:c>
      <x:c r="B6" s="12"/>
      <x:c r="C6" s="10"/>
      <x:c r="D6" s="8" t="s">
        <x:v>29</x:v>
      </x:c>
      <x:c r="E6" s="12"/>
      <x:c r="F6" s="10"/>
    </x:row>
    <x:row r="7" spans="1:20">
      <x:c r="A7" s="8" t="s">
        <x:v>30</x:v>
      </x:c>
      <x:c r="B7" s="12"/>
      <x:c r="C7" s="10"/>
      <x:c r="D7" s="8" t="s">
        <x:v>31</x:v>
      </x:c>
      <x:c r="E7" s="11" t="s">
        <x:v>32</x:v>
      </x:c>
      <x:c r="F7" s="10"/>
    </x:row>
    <x:row r="8" spans="1:20">
      <x:c r="A8" s="8" t="s">
        <x:v>72</x:v>
      </x:c>
      <x:c r="B8" s="12"/>
      <x:c r="C8" s="10"/>
      <x:c r="D8" s="8" t="s">
        <x:v>73</x:v>
      </x:c>
      <x:c r="E8" s="12"/>
      <x:c r="F8" s="10"/>
    </x:row>
    <x:row r="9" spans="1:20">
      <x:c r="A9" s="8" t="s">
        <x:v>74</x:v>
      </x:c>
      <x:c r="B9" s="12"/>
      <x:c r="C9" s="10"/>
      <x:c r="D9" s="8" t="s">
        <x:v>75</x:v>
      </x:c>
      <x:c r="E9" s="12"/>
      <x:c r="F9" s="10"/>
    </x:row>
    <x:row r="10" spans="1:20">
      <x:c r="A10" s="8" t="s">
        <x:v>35</x:v>
      </x:c>
      <x:c r="B10" s="11"/>
      <x:c r="C10" s="10"/>
      <x:c r="D10" s="8" t="s">
        <x:v>36</x:v>
      </x:c>
      <x:c r="E10" s="11"/>
      <x:c r="F10" s="10"/>
    </x:row>
    <x:row r="11" spans="1:20">
      <x:c r="A11" s="8" t="s">
        <x:v>37</x:v>
      </x:c>
      <x:c r="B11" s="11"/>
      <x:c r="C11" s="10"/>
    </x:row>
    <x:row r="13" spans="1:20">
      <x:c r="A13" s="13" t="s">
        <x:v>38</x:v>
      </x:c>
      <x:c r="B13" s="13" t="s">
        <x:v>39</x:v>
      </x:c>
      <x:c r="C13" s="13" t="s">
        <x:v>40</x:v>
      </x:c>
      <x:c r="D13" s="13" t="s">
        <x:v>41</x:v>
      </x:c>
      <x:c r="E13" s="13" t="s">
        <x:v>42</x:v>
      </x:c>
      <x:c r="F13" s="13" t="s">
        <x:v>43</x:v>
      </x:c>
      <x:c r="G13" s="13" t="s">
        <x:v>44</x:v>
      </x:c>
      <x:c r="H13" s="13" t="s">
        <x:v>45</x:v>
      </x:c>
      <x:c r="I13" s="13" t="s">
        <x:v>46</x:v>
      </x:c>
      <x:c r="J13" s="13" t="s">
        <x:v>47</x:v>
      </x:c>
      <x:c r="K13" s="13" t="s">
        <x:v>48</x:v>
      </x:c>
      <x:c r="L13" s="13" t="s">
        <x:v>37</x:v>
      </x:c>
      <x:c r="M13" s="13" t="s">
        <x:v>49</x:v>
      </x:c>
      <x:c r="N13" s="13" t="s">
        <x:v>50</x:v>
      </x:c>
      <x:c r="P13" s="13" t="s">
        <x:v>51</x:v>
      </x:c>
      <x:c r="Q13" s="13" t="s">
        <x:v>52</x:v>
      </x:c>
    </x:row>
    <x:row r="14" spans="1:20">
      <x:c r="A14" s="14">
        <x:v>0</x:v>
      </x:c>
      <x:c r="B14" s="12"/>
      <x:c r="C14" s="12"/>
      <x:c r="D14" s="15"/>
      <x:c r="E14" s="16"/>
      <x:c r="F14" s="11"/>
      <x:c r="G14" s="12"/>
      <x:c r="H14" s="12"/>
      <x:c r="I14" s="15"/>
      <x:c r="J14" s="16"/>
      <x:c r="K14" s="11"/>
      <x:c r="L14" s="11"/>
      <x:c r="M14" s="17">
        <x:f>IF(AND(B14&lt;&gt;"",$E$6&lt;&gt;""),IF(B14&gt;=$E$6-0.5,1,0),"")</x:f>
      </x:c>
      <x:c r="N14" s="17">
        <x:f>IF(AND(G14&lt;&gt;"",$B$7&lt;&gt;""),IF(G14&gt;=$B$7-0.5,1,0),"")</x:f>
      </x:c>
      <x:c r="P14" s="8" t="s">
        <x:v>76</x:v>
      </x:c>
      <x:c r="Q14" s="18">
        <x:f>IF(COUNT(B14:B74)=0,"",MAX(B14:B74))</x:f>
      </x:c>
    </x:row>
    <x:row r="15" spans="1:20">
      <x:c r="A15" s="14">
        <x:v>1</x:v>
      </x:c>
      <x:c r="B15" s="12"/>
      <x:c r="C15" s="12"/>
      <x:c r="D15" s="15"/>
      <x:c r="E15" s="16"/>
      <x:c r="F15" s="11"/>
      <x:c r="G15" s="12"/>
      <x:c r="H15" s="12"/>
      <x:c r="I15" s="15"/>
      <x:c r="J15" s="16"/>
      <x:c r="K15" s="11"/>
      <x:c r="L15" s="11"/>
      <x:c r="M15" s="17">
        <x:f>IF(AND(B15&lt;&gt;"",$E$6&lt;&gt;""),IF(B15&gt;=$E$6-0.5,1,0),"")</x:f>
      </x:c>
      <x:c r="N15" s="17">
        <x:f>IF(AND(G15&lt;&gt;"",$B$7&lt;&gt;""),IF(G15&gt;=$B$7-0.5,1,0),"")</x:f>
      </x:c>
      <x:c r="P15" s="8" t="s">
        <x:v>77</x:v>
      </x:c>
      <x:c r="Q15" s="17">
        <x:f>IFERROR(INDEX($A$14:$A$74,MATCH(1,M14:M74,0)),"未到")</x:f>
      </x:c>
    </x:row>
    <x:row r="16" spans="1:20">
      <x:c r="A16" s="14">
        <x:v>2</x:v>
      </x:c>
      <x:c r="B16" s="12"/>
      <x:c r="C16" s="12"/>
      <x:c r="D16" s="15"/>
      <x:c r="E16" s="16"/>
      <x:c r="F16" s="11"/>
      <x:c r="G16" s="12"/>
      <x:c r="H16" s="12"/>
      <x:c r="I16" s="15"/>
      <x:c r="J16" s="16"/>
      <x:c r="K16" s="11"/>
      <x:c r="L16" s="11"/>
      <x:c r="M16" s="17">
        <x:f>IF(AND(B16&lt;&gt;"",$E$6&lt;&gt;""),IF(B16&gt;=$E$6-0.5,1,0),"")</x:f>
      </x:c>
      <x:c r="N16" s="17">
        <x:f>IF(AND(G16&lt;&gt;"",$B$7&lt;&gt;""),IF(G16&gt;=$B$7-0.5,1,0),"")</x:f>
      </x:c>
      <x:c r="P16" s="8" t="s">
        <x:v>78</x:v>
      </x:c>
      <x:c r="Q16" s="18">
        <x:f>IF(OR($Q$14="",$E$6=""),"",MAX(0,$Q$14-$E$6))</x:f>
      </x:c>
    </x:row>
    <x:row r="17" spans="1:20">
      <x:c r="A17" s="14">
        <x:v>3</x:v>
      </x:c>
      <x:c r="B17" s="12"/>
      <x:c r="C17" s="12"/>
      <x:c r="D17" s="15"/>
      <x:c r="E17" s="16"/>
      <x:c r="F17" s="11"/>
      <x:c r="G17" s="12"/>
      <x:c r="H17" s="12"/>
      <x:c r="I17" s="15"/>
      <x:c r="J17" s="16"/>
      <x:c r="K17" s="11"/>
      <x:c r="L17" s="11"/>
      <x:c r="M17" s="17">
        <x:f>IF(AND(B17&lt;&gt;"",$E$6&lt;&gt;""),IF(B17&gt;=$E$6-0.5,1,0),"")</x:f>
      </x:c>
      <x:c r="N17" s="17">
        <x:f>IF(AND(G17&lt;&gt;"",$B$7&lt;&gt;""),IF(G17&gt;=$B$7-0.5,1,0),"")</x:f>
      </x:c>
      <x:c r="P17" s="8" t="s">
        <x:v>79</x:v>
      </x:c>
      <x:c r="Q17" s="19">
        <x:f>IF(OR(B14="",B24="",A24=A14),"",(B24-B14)/(A24-A14))</x:f>
      </x:c>
    </x:row>
    <x:row r="18" spans="1:20">
      <x:c r="A18" s="14">
        <x:v>4</x:v>
      </x:c>
      <x:c r="B18" s="12"/>
      <x:c r="C18" s="12"/>
      <x:c r="D18" s="15"/>
      <x:c r="E18" s="16"/>
      <x:c r="F18" s="11"/>
      <x:c r="G18" s="12"/>
      <x:c r="H18" s="12"/>
      <x:c r="I18" s="15"/>
      <x:c r="J18" s="16"/>
      <x:c r="K18" s="11"/>
      <x:c r="L18" s="11"/>
      <x:c r="M18" s="17">
        <x:f>IF(AND(B18&lt;&gt;"",$E$6&lt;&gt;""),IF(B18&gt;=$E$6-0.5,1,0),"")</x:f>
      </x:c>
      <x:c r="N18" s="17">
        <x:f>IF(AND(G18&lt;&gt;"",$B$7&lt;&gt;""),IF(G18&gt;=$B$7-0.5,1,0),"")</x:f>
      </x:c>
      <x:c r="P18" s="8" t="s">
        <x:v>57</x:v>
      </x:c>
      <x:c r="Q18" s="18">
        <x:f>IF(COUNT(C14:C74)=0,"",AVERAGE(C14:C74))</x:f>
      </x:c>
    </x:row>
    <x:row r="19" spans="1:20">
      <x:c r="A19" s="14">
        <x:v>5</x:v>
      </x:c>
      <x:c r="B19" s="12"/>
      <x:c r="C19" s="12"/>
      <x:c r="D19" s="15"/>
      <x:c r="E19" s="16"/>
      <x:c r="F19" s="11"/>
      <x:c r="G19" s="12"/>
      <x:c r="H19" s="12"/>
      <x:c r="I19" s="15"/>
      <x:c r="J19" s="16"/>
      <x:c r="K19" s="11"/>
      <x:c r="L19" s="11"/>
      <x:c r="M19" s="17">
        <x:f>IF(AND(B19&lt;&gt;"",$E$6&lt;&gt;""),IF(B19&gt;=$E$6-0.5,1,0),"")</x:f>
      </x:c>
      <x:c r="N19" s="17">
        <x:f>IF(AND(G19&lt;&gt;"",$B$7&lt;&gt;""),IF(G19&gt;=$B$7-0.5,1,0),"")</x:f>
      </x:c>
      <x:c r="P19" s="8" t="s">
        <x:v>58</x:v>
      </x:c>
      <x:c r="Q19" s="20">
        <x:f>IF(COUNT(D14:D74)=0,"",MAX(D14:D74))</x:f>
      </x:c>
    </x:row>
    <x:row r="20" spans="1:20">
      <x:c r="A20" s="14">
        <x:v>6</x:v>
      </x:c>
      <x:c r="B20" s="12"/>
      <x:c r="C20" s="12"/>
      <x:c r="D20" s="15"/>
      <x:c r="E20" s="16"/>
      <x:c r="F20" s="11"/>
      <x:c r="G20" s="12"/>
      <x:c r="H20" s="12"/>
      <x:c r="I20" s="15"/>
      <x:c r="J20" s="16"/>
      <x:c r="K20" s="11"/>
      <x:c r="L20" s="11"/>
      <x:c r="M20" s="17">
        <x:f>IF(AND(B20&lt;&gt;"",$E$6&lt;&gt;""),IF(B20&gt;=$E$6-0.5,1,0),"")</x:f>
      </x:c>
      <x:c r="N20" s="17">
        <x:f>IF(AND(G20&lt;&gt;"",$B$7&lt;&gt;""),IF(G20&gt;=$B$7-0.5,1,0),"")</x:f>
      </x:c>
      <x:c r="P20" s="8" t="s">
        <x:v>80</x:v>
      </x:c>
      <x:c r="Q20" s="19">
        <x:f>IF(COUNT(E14:E74)=0,"",MAX(E14:E74))</x:f>
      </x:c>
    </x:row>
    <x:row r="21" spans="1:20">
      <x:c r="A21" s="14">
        <x:v>7</x:v>
      </x:c>
      <x:c r="B21" s="12"/>
      <x:c r="C21" s="12"/>
      <x:c r="D21" s="15"/>
      <x:c r="E21" s="16"/>
      <x:c r="F21" s="11"/>
      <x:c r="G21" s="12"/>
      <x:c r="H21" s="12"/>
      <x:c r="I21" s="15"/>
      <x:c r="J21" s="16"/>
      <x:c r="K21" s="11"/>
      <x:c r="L21" s="11"/>
      <x:c r="M21" s="17">
        <x:f>IF(AND(B21&lt;&gt;"",$E$6&lt;&gt;""),IF(B21&gt;=$E$6-0.5,1,0),"")</x:f>
      </x:c>
      <x:c r="N21" s="17">
        <x:f>IF(AND(G21&lt;&gt;"",$B$7&lt;&gt;""),IF(G21&gt;=$B$7-0.5,1,0),"")</x:f>
      </x:c>
    </x:row>
    <x:row r="22" spans="1:20">
      <x:c r="A22" s="14">
        <x:v>8</x:v>
      </x:c>
      <x:c r="B22" s="12"/>
      <x:c r="C22" s="12"/>
      <x:c r="D22" s="15"/>
      <x:c r="E22" s="16"/>
      <x:c r="F22" s="11"/>
      <x:c r="G22" s="12"/>
      <x:c r="H22" s="12"/>
      <x:c r="I22" s="15"/>
      <x:c r="J22" s="16"/>
      <x:c r="K22" s="11"/>
      <x:c r="L22" s="11"/>
      <x:c r="M22" s="17">
        <x:f>IF(AND(B22&lt;&gt;"",$E$6&lt;&gt;""),IF(B22&gt;=$E$6-0.5,1,0),"")</x:f>
      </x:c>
      <x:c r="N22" s="17">
        <x:f>IF(AND(G22&lt;&gt;"",$B$7&lt;&gt;""),IF(G22&gt;=$B$7-0.5,1,0),"")</x:f>
      </x:c>
      <x:c r="P22" s="8" t="s">
        <x:v>81</x:v>
      </x:c>
      <x:c r="Q22" s="18">
        <x:f>IF(COUNT(G14:G74)=0,"",MAX(G14:G74))</x:f>
      </x:c>
    </x:row>
    <x:row r="23" spans="1:20">
      <x:c r="A23" s="14">
        <x:v>9</x:v>
      </x:c>
      <x:c r="B23" s="12"/>
      <x:c r="C23" s="12"/>
      <x:c r="D23" s="15"/>
      <x:c r="E23" s="16"/>
      <x:c r="F23" s="11"/>
      <x:c r="G23" s="12"/>
      <x:c r="H23" s="12"/>
      <x:c r="I23" s="15"/>
      <x:c r="J23" s="16"/>
      <x:c r="K23" s="11"/>
      <x:c r="L23" s="11"/>
      <x:c r="M23" s="17">
        <x:f>IF(AND(B23&lt;&gt;"",$E$6&lt;&gt;""),IF(B23&gt;=$E$6-0.5,1,0),"")</x:f>
      </x:c>
      <x:c r="N23" s="17">
        <x:f>IF(AND(G23&lt;&gt;"",$B$7&lt;&gt;""),IF(G23&gt;=$B$7-0.5,1,0),"")</x:f>
      </x:c>
      <x:c r="P23" s="8" t="s">
        <x:v>82</x:v>
      </x:c>
      <x:c r="Q23" s="17">
        <x:f>IFERROR(INDEX($A$14:$A$74,MATCH(1,N14:N74,0)),"未到")</x:f>
      </x:c>
    </x:row>
    <x:row r="24" spans="1:20">
      <x:c r="A24" s="14">
        <x:v>10</x:v>
      </x:c>
      <x:c r="B24" s="12"/>
      <x:c r="C24" s="12"/>
      <x:c r="D24" s="15"/>
      <x:c r="E24" s="16"/>
      <x:c r="F24" s="11"/>
      <x:c r="G24" s="12"/>
      <x:c r="H24" s="12"/>
      <x:c r="I24" s="15"/>
      <x:c r="J24" s="16"/>
      <x:c r="K24" s="11"/>
      <x:c r="L24" s="11"/>
      <x:c r="M24" s="17">
        <x:f>IF(AND(B24&lt;&gt;"",$E$6&lt;&gt;""),IF(B24&gt;=$E$6-0.5,1,0),"")</x:f>
      </x:c>
      <x:c r="N24" s="17">
        <x:f>IF(AND(G24&lt;&gt;"",$B$7&lt;&gt;""),IF(G24&gt;=$B$7-0.5,1,0),"")</x:f>
      </x:c>
      <x:c r="P24" s="8" t="s">
        <x:v>83</x:v>
      </x:c>
      <x:c r="Q24" s="18">
        <x:f>IF(OR($Q$22="",$B$7=""),"",MAX(0,$Q$22-$B$7))</x:f>
      </x:c>
    </x:row>
    <x:row r="25" spans="1:20">
      <x:c r="A25" s="14">
        <x:v>11</x:v>
      </x:c>
      <x:c r="B25" s="12"/>
      <x:c r="C25" s="12"/>
      <x:c r="D25" s="15"/>
      <x:c r="E25" s="16"/>
      <x:c r="F25" s="11"/>
      <x:c r="G25" s="12"/>
      <x:c r="H25" s="12"/>
      <x:c r="I25" s="15"/>
      <x:c r="J25" s="16"/>
      <x:c r="K25" s="11"/>
      <x:c r="L25" s="11"/>
      <x:c r="M25" s="17">
        <x:f>IF(AND(B25&lt;&gt;"",$E$6&lt;&gt;""),IF(B25&gt;=$E$6-0.5,1,0),"")</x:f>
      </x:c>
      <x:c r="N25" s="17">
        <x:f>IF(AND(G25&lt;&gt;"",$B$7&lt;&gt;""),IF(G25&gt;=$B$7-0.5,1,0),"")</x:f>
      </x:c>
      <x:c r="P25" s="8" t="s">
        <x:v>84</x:v>
      </x:c>
      <x:c r="Q25" s="19">
        <x:f>IF(OR(G14="",G24="",A24=A14),"",(G24-G14)/(A24-A14))</x:f>
      </x:c>
    </x:row>
    <x:row r="26" spans="1:20">
      <x:c r="A26" s="14">
        <x:v>12</x:v>
      </x:c>
      <x:c r="B26" s="12"/>
      <x:c r="C26" s="12"/>
      <x:c r="D26" s="15"/>
      <x:c r="E26" s="16"/>
      <x:c r="F26" s="11"/>
      <x:c r="G26" s="12"/>
      <x:c r="H26" s="12"/>
      <x:c r="I26" s="15"/>
      <x:c r="J26" s="16"/>
      <x:c r="K26" s="11"/>
      <x:c r="L26" s="11"/>
      <x:c r="M26" s="17">
        <x:f>IF(AND(B26&lt;&gt;"",$E$6&lt;&gt;""),IF(B26&gt;=$E$6-0.5,1,0),"")</x:f>
      </x:c>
      <x:c r="N26" s="17">
        <x:f>IF(AND(G26&lt;&gt;"",$B$7&lt;&gt;""),IF(G26&gt;=$B$7-0.5,1,0),"")</x:f>
      </x:c>
      <x:c r="P26" s="8" t="s">
        <x:v>64</x:v>
      </x:c>
      <x:c r="Q26" s="18">
        <x:f>IF(COUNT(H14:H74)=0,"",AVERAGE(H14:H74))</x:f>
      </x:c>
    </x:row>
    <x:row r="27" spans="1:20">
      <x:c r="A27" s="14">
        <x:v>13</x:v>
      </x:c>
      <x:c r="B27" s="12"/>
      <x:c r="C27" s="12"/>
      <x:c r="D27" s="15"/>
      <x:c r="E27" s="16"/>
      <x:c r="F27" s="11"/>
      <x:c r="G27" s="12"/>
      <x:c r="H27" s="12"/>
      <x:c r="I27" s="15"/>
      <x:c r="J27" s="16"/>
      <x:c r="K27" s="11"/>
      <x:c r="L27" s="11"/>
      <x:c r="M27" s="17">
        <x:f>IF(AND(B27&lt;&gt;"",$E$6&lt;&gt;""),IF(B27&gt;=$E$6-0.5,1,0),"")</x:f>
      </x:c>
      <x:c r="N27" s="17">
        <x:f>IF(AND(G27&lt;&gt;"",$B$7&lt;&gt;""),IF(G27&gt;=$B$7-0.5,1,0),"")</x:f>
      </x:c>
      <x:c r="P27" s="8" t="s">
        <x:v>65</x:v>
      </x:c>
      <x:c r="Q27" s="20">
        <x:f>IF(COUNT(I14:I74)=0,"",MAX(I14:I74))</x:f>
      </x:c>
    </x:row>
    <x:row r="28" spans="1:20">
      <x:c r="A28" s="14">
        <x:v>14</x:v>
      </x:c>
      <x:c r="B28" s="12"/>
      <x:c r="C28" s="12"/>
      <x:c r="D28" s="15"/>
      <x:c r="E28" s="16"/>
      <x:c r="F28" s="11"/>
      <x:c r="G28" s="12"/>
      <x:c r="H28" s="12"/>
      <x:c r="I28" s="15"/>
      <x:c r="J28" s="16"/>
      <x:c r="K28" s="11"/>
      <x:c r="L28" s="11"/>
      <x:c r="M28" s="17">
        <x:f>IF(AND(B28&lt;&gt;"",$E$6&lt;&gt;""),IF(B28&gt;=$E$6-0.5,1,0),"")</x:f>
      </x:c>
      <x:c r="N28" s="17">
        <x:f>IF(AND(G28&lt;&gt;"",$B$7&lt;&gt;""),IF(G28&gt;=$B$7-0.5,1,0),"")</x:f>
      </x:c>
      <x:c r="P28" s="8" t="s">
        <x:v>85</x:v>
      </x:c>
      <x:c r="Q28" s="19">
        <x:f>IF(COUNT(J14:J74)=0,"",MAX(J14:J74))</x:f>
      </x:c>
    </x:row>
    <x:row r="29" spans="1:20">
      <x:c r="A29" s="14">
        <x:v>15</x:v>
      </x:c>
      <x:c r="B29" s="12"/>
      <x:c r="C29" s="12"/>
      <x:c r="D29" s="15"/>
      <x:c r="E29" s="16"/>
      <x:c r="F29" s="11"/>
      <x:c r="G29" s="12"/>
      <x:c r="H29" s="12"/>
      <x:c r="I29" s="15"/>
      <x:c r="J29" s="16"/>
      <x:c r="K29" s="11"/>
      <x:c r="L29" s="11"/>
      <x:c r="M29" s="17">
        <x:f>IF(AND(B29&lt;&gt;"",$E$6&lt;&gt;""),IF(B29&gt;=$E$6-0.5,1,0),"")</x:f>
      </x:c>
      <x:c r="N29" s="17">
        <x:f>IF(AND(G29&lt;&gt;"",$B$7&lt;&gt;""),IF(G29&gt;=$B$7-0.5,1,0),"")</x:f>
      </x:c>
    </x:row>
    <x:row r="30" spans="1:20">
      <x:c r="A30" s="14">
        <x:v>16</x:v>
      </x:c>
      <x:c r="B30" s="12"/>
      <x:c r="C30" s="12"/>
      <x:c r="D30" s="15"/>
      <x:c r="E30" s="16"/>
      <x:c r="F30" s="11"/>
      <x:c r="G30" s="12"/>
      <x:c r="H30" s="12"/>
      <x:c r="I30" s="15"/>
      <x:c r="J30" s="16"/>
      <x:c r="K30" s="11"/>
      <x:c r="L30" s="11"/>
      <x:c r="M30" s="17">
        <x:f>IF(AND(B30&lt;&gt;"",$E$6&lt;&gt;""),IF(B30&gt;=$E$6-0.5,1,0),"")</x:f>
      </x:c>
      <x:c r="N30" s="17">
        <x:f>IF(AND(G30&lt;&gt;"",$B$7&lt;&gt;""),IF(G30&gt;=$B$7-0.5,1,0),"")</x:f>
      </x:c>
    </x:row>
    <x:row r="31" spans="1:20">
      <x:c r="A31" s="14">
        <x:v>17</x:v>
      </x:c>
      <x:c r="B31" s="12"/>
      <x:c r="C31" s="12"/>
      <x:c r="D31" s="15"/>
      <x:c r="E31" s="16"/>
      <x:c r="F31" s="11"/>
      <x:c r="G31" s="12"/>
      <x:c r="H31" s="12"/>
      <x:c r="I31" s="15"/>
      <x:c r="J31" s="16"/>
      <x:c r="K31" s="11"/>
      <x:c r="L31" s="11"/>
      <x:c r="M31" s="17">
        <x:f>IF(AND(B31&lt;&gt;"",$E$6&lt;&gt;""),IF(B31&gt;=$E$6-0.5,1,0),"")</x:f>
      </x:c>
      <x:c r="N31" s="17">
        <x:f>IF(AND(G31&lt;&gt;"",$B$7&lt;&gt;""),IF(G31&gt;=$B$7-0.5,1,0),"")</x:f>
      </x:c>
    </x:row>
    <x:row r="32" spans="1:20">
      <x:c r="A32" s="14">
        <x:v>18</x:v>
      </x:c>
      <x:c r="B32" s="12"/>
      <x:c r="C32" s="12"/>
      <x:c r="D32" s="15"/>
      <x:c r="E32" s="16"/>
      <x:c r="F32" s="11"/>
      <x:c r="G32" s="12"/>
      <x:c r="H32" s="12"/>
      <x:c r="I32" s="15"/>
      <x:c r="J32" s="16"/>
      <x:c r="K32" s="11"/>
      <x:c r="L32" s="11"/>
      <x:c r="M32" s="17">
        <x:f>IF(AND(B32&lt;&gt;"",$E$6&lt;&gt;""),IF(B32&gt;=$E$6-0.5,1,0),"")</x:f>
      </x:c>
      <x:c r="N32" s="17">
        <x:f>IF(AND(G32&lt;&gt;"",$B$7&lt;&gt;""),IF(G32&gt;=$B$7-0.5,1,0),"")</x:f>
      </x:c>
    </x:row>
    <x:row r="33" spans="1:20">
      <x:c r="A33" s="14">
        <x:v>19</x:v>
      </x:c>
      <x:c r="B33" s="12"/>
      <x:c r="C33" s="12"/>
      <x:c r="D33" s="15"/>
      <x:c r="E33" s="16"/>
      <x:c r="F33" s="11"/>
      <x:c r="G33" s="12"/>
      <x:c r="H33" s="12"/>
      <x:c r="I33" s="15"/>
      <x:c r="J33" s="16"/>
      <x:c r="K33" s="11"/>
      <x:c r="L33" s="11"/>
      <x:c r="M33" s="17">
        <x:f>IF(AND(B33&lt;&gt;"",$E$6&lt;&gt;""),IF(B33&gt;=$E$6-0.5,1,0),"")</x:f>
      </x:c>
      <x:c r="N33" s="17">
        <x:f>IF(AND(G33&lt;&gt;"",$B$7&lt;&gt;""),IF(G33&gt;=$B$7-0.5,1,0),"")</x:f>
      </x:c>
    </x:row>
    <x:row r="34" spans="1:20">
      <x:c r="A34" s="14">
        <x:v>20</x:v>
      </x:c>
      <x:c r="B34" s="12"/>
      <x:c r="C34" s="12"/>
      <x:c r="D34" s="15"/>
      <x:c r="E34" s="16"/>
      <x:c r="F34" s="11"/>
      <x:c r="G34" s="12"/>
      <x:c r="H34" s="12"/>
      <x:c r="I34" s="15"/>
      <x:c r="J34" s="16"/>
      <x:c r="K34" s="11"/>
      <x:c r="L34" s="11"/>
      <x:c r="M34" s="17">
        <x:f>IF(AND(B34&lt;&gt;"",$E$6&lt;&gt;""),IF(B34&gt;=$E$6-0.5,1,0),"")</x:f>
      </x:c>
      <x:c r="N34" s="17">
        <x:f>IF(AND(G34&lt;&gt;"",$B$7&lt;&gt;""),IF(G34&gt;=$B$7-0.5,1,0),"")</x:f>
      </x:c>
    </x:row>
    <x:row r="35" spans="1:20">
      <x:c r="A35" s="14">
        <x:v>21</x:v>
      </x:c>
      <x:c r="B35" s="12"/>
      <x:c r="C35" s="12"/>
      <x:c r="D35" s="15"/>
      <x:c r="E35" s="16"/>
      <x:c r="F35" s="11"/>
      <x:c r="G35" s="12"/>
      <x:c r="H35" s="12"/>
      <x:c r="I35" s="15"/>
      <x:c r="J35" s="16"/>
      <x:c r="K35" s="11"/>
      <x:c r="L35" s="11"/>
      <x:c r="M35" s="17">
        <x:f>IF(AND(B35&lt;&gt;"",$E$6&lt;&gt;""),IF(B35&gt;=$E$6-0.5,1,0),"")</x:f>
      </x:c>
      <x:c r="N35" s="17">
        <x:f>IF(AND(G35&lt;&gt;"",$B$7&lt;&gt;""),IF(G35&gt;=$B$7-0.5,1,0),"")</x:f>
      </x:c>
    </x:row>
    <x:row r="36" spans="1:20">
      <x:c r="A36" s="14">
        <x:v>22</x:v>
      </x:c>
      <x:c r="B36" s="12"/>
      <x:c r="C36" s="12"/>
      <x:c r="D36" s="15"/>
      <x:c r="E36" s="16"/>
      <x:c r="F36" s="11"/>
      <x:c r="G36" s="12"/>
      <x:c r="H36" s="12"/>
      <x:c r="I36" s="15"/>
      <x:c r="J36" s="16"/>
      <x:c r="K36" s="11"/>
      <x:c r="L36" s="11"/>
      <x:c r="M36" s="17">
        <x:f>IF(AND(B36&lt;&gt;"",$E$6&lt;&gt;""),IF(B36&gt;=$E$6-0.5,1,0),"")</x:f>
      </x:c>
      <x:c r="N36" s="17">
        <x:f>IF(AND(G36&lt;&gt;"",$B$7&lt;&gt;""),IF(G36&gt;=$B$7-0.5,1,0),"")</x:f>
      </x:c>
    </x:row>
    <x:row r="37" spans="1:20">
      <x:c r="A37" s="14">
        <x:v>23</x:v>
      </x:c>
      <x:c r="B37" s="12"/>
      <x:c r="C37" s="12"/>
      <x:c r="D37" s="15"/>
      <x:c r="E37" s="16"/>
      <x:c r="F37" s="11"/>
      <x:c r="G37" s="12"/>
      <x:c r="H37" s="12"/>
      <x:c r="I37" s="15"/>
      <x:c r="J37" s="16"/>
      <x:c r="K37" s="11"/>
      <x:c r="L37" s="11"/>
      <x:c r="M37" s="17">
        <x:f>IF(AND(B37&lt;&gt;"",$E$6&lt;&gt;""),IF(B37&gt;=$E$6-0.5,1,0),"")</x:f>
      </x:c>
      <x:c r="N37" s="17">
        <x:f>IF(AND(G37&lt;&gt;"",$B$7&lt;&gt;""),IF(G37&gt;=$B$7-0.5,1,0),"")</x:f>
      </x:c>
    </x:row>
    <x:row r="38" spans="1:20">
      <x:c r="A38" s="14">
        <x:v>24</x:v>
      </x:c>
      <x:c r="B38" s="12"/>
      <x:c r="C38" s="12"/>
      <x:c r="D38" s="15"/>
      <x:c r="E38" s="16"/>
      <x:c r="F38" s="11"/>
      <x:c r="G38" s="12"/>
      <x:c r="H38" s="12"/>
      <x:c r="I38" s="15"/>
      <x:c r="J38" s="16"/>
      <x:c r="K38" s="11"/>
      <x:c r="L38" s="11"/>
      <x:c r="M38" s="17">
        <x:f>IF(AND(B38&lt;&gt;"",$E$6&lt;&gt;""),IF(B38&gt;=$E$6-0.5,1,0),"")</x:f>
      </x:c>
      <x:c r="N38" s="17">
        <x:f>IF(AND(G38&lt;&gt;"",$B$7&lt;&gt;""),IF(G38&gt;=$B$7-0.5,1,0),"")</x:f>
      </x:c>
    </x:row>
    <x:row r="39" spans="1:20">
      <x:c r="A39" s="14">
        <x:v>25</x:v>
      </x:c>
      <x:c r="B39" s="12"/>
      <x:c r="C39" s="12"/>
      <x:c r="D39" s="15"/>
      <x:c r="E39" s="16"/>
      <x:c r="F39" s="11"/>
      <x:c r="G39" s="12"/>
      <x:c r="H39" s="12"/>
      <x:c r="I39" s="15"/>
      <x:c r="J39" s="16"/>
      <x:c r="K39" s="11"/>
      <x:c r="L39" s="11"/>
      <x:c r="M39" s="17">
        <x:f>IF(AND(B39&lt;&gt;"",$E$6&lt;&gt;""),IF(B39&gt;=$E$6-0.5,1,0),"")</x:f>
      </x:c>
      <x:c r="N39" s="17">
        <x:f>IF(AND(G39&lt;&gt;"",$B$7&lt;&gt;""),IF(G39&gt;=$B$7-0.5,1,0),"")</x:f>
      </x:c>
    </x:row>
    <x:row r="40" spans="1:20">
      <x:c r="A40" s="14">
        <x:v>26</x:v>
      </x:c>
      <x:c r="B40" s="12"/>
      <x:c r="C40" s="12"/>
      <x:c r="D40" s="15"/>
      <x:c r="E40" s="16"/>
      <x:c r="F40" s="11"/>
      <x:c r="G40" s="12"/>
      <x:c r="H40" s="12"/>
      <x:c r="I40" s="15"/>
      <x:c r="J40" s="16"/>
      <x:c r="K40" s="11"/>
      <x:c r="L40" s="11"/>
      <x:c r="M40" s="17">
        <x:f>IF(AND(B40&lt;&gt;"",$E$6&lt;&gt;""),IF(B40&gt;=$E$6-0.5,1,0),"")</x:f>
      </x:c>
      <x:c r="N40" s="17">
        <x:f>IF(AND(G40&lt;&gt;"",$B$7&lt;&gt;""),IF(G40&gt;=$B$7-0.5,1,0),"")</x:f>
      </x:c>
    </x:row>
    <x:row r="41" spans="1:20">
      <x:c r="A41" s="14">
        <x:v>27</x:v>
      </x:c>
      <x:c r="B41" s="12"/>
      <x:c r="C41" s="12"/>
      <x:c r="D41" s="15"/>
      <x:c r="E41" s="16"/>
      <x:c r="F41" s="11"/>
      <x:c r="G41" s="12"/>
      <x:c r="H41" s="12"/>
      <x:c r="I41" s="15"/>
      <x:c r="J41" s="16"/>
      <x:c r="K41" s="11"/>
      <x:c r="L41" s="11"/>
      <x:c r="M41" s="17">
        <x:f>IF(AND(B41&lt;&gt;"",$E$6&lt;&gt;""),IF(B41&gt;=$E$6-0.5,1,0),"")</x:f>
      </x:c>
      <x:c r="N41" s="17">
        <x:f>IF(AND(G41&lt;&gt;"",$B$7&lt;&gt;""),IF(G41&gt;=$B$7-0.5,1,0),"")</x:f>
      </x:c>
    </x:row>
    <x:row r="42" spans="1:20">
      <x:c r="A42" s="14">
        <x:v>28</x:v>
      </x:c>
      <x:c r="B42" s="12"/>
      <x:c r="C42" s="12"/>
      <x:c r="D42" s="15"/>
      <x:c r="E42" s="16"/>
      <x:c r="F42" s="11"/>
      <x:c r="G42" s="12"/>
      <x:c r="H42" s="12"/>
      <x:c r="I42" s="15"/>
      <x:c r="J42" s="16"/>
      <x:c r="K42" s="11"/>
      <x:c r="L42" s="11"/>
      <x:c r="M42" s="17">
        <x:f>IF(AND(B42&lt;&gt;"",$E$6&lt;&gt;""),IF(B42&gt;=$E$6-0.5,1,0),"")</x:f>
      </x:c>
      <x:c r="N42" s="17">
        <x:f>IF(AND(G42&lt;&gt;"",$B$7&lt;&gt;""),IF(G42&gt;=$B$7-0.5,1,0),"")</x:f>
      </x:c>
    </x:row>
    <x:row r="43" spans="1:20">
      <x:c r="A43" s="14">
        <x:v>29</x:v>
      </x:c>
      <x:c r="B43" s="12"/>
      <x:c r="C43" s="12"/>
      <x:c r="D43" s="15"/>
      <x:c r="E43" s="16"/>
      <x:c r="F43" s="11"/>
      <x:c r="G43" s="12"/>
      <x:c r="H43" s="12"/>
      <x:c r="I43" s="15"/>
      <x:c r="J43" s="16"/>
      <x:c r="K43" s="11"/>
      <x:c r="L43" s="11"/>
      <x:c r="M43" s="17">
        <x:f>IF(AND(B43&lt;&gt;"",$E$6&lt;&gt;""),IF(B43&gt;=$E$6-0.5,1,0),"")</x:f>
      </x:c>
      <x:c r="N43" s="17">
        <x:f>IF(AND(G43&lt;&gt;"",$B$7&lt;&gt;""),IF(G43&gt;=$B$7-0.5,1,0),"")</x:f>
      </x:c>
    </x:row>
    <x:row r="44" spans="1:20">
      <x:c r="A44" s="14">
        <x:v>30</x:v>
      </x:c>
      <x:c r="B44" s="12"/>
      <x:c r="C44" s="12"/>
      <x:c r="D44" s="15"/>
      <x:c r="E44" s="16"/>
      <x:c r="F44" s="11"/>
      <x:c r="G44" s="12"/>
      <x:c r="H44" s="12"/>
      <x:c r="I44" s="15"/>
      <x:c r="J44" s="16"/>
      <x:c r="K44" s="11"/>
      <x:c r="L44" s="11"/>
      <x:c r="M44" s="17">
        <x:f>IF(AND(B44&lt;&gt;"",$E$6&lt;&gt;""),IF(B44&gt;=$E$6-0.5,1,0),"")</x:f>
      </x:c>
      <x:c r="N44" s="17">
        <x:f>IF(AND(G44&lt;&gt;"",$B$7&lt;&gt;""),IF(G44&gt;=$B$7-0.5,1,0),"")</x:f>
      </x:c>
    </x:row>
    <x:row r="45" spans="1:20">
      <x:c r="A45" s="14">
        <x:v>31</x:v>
      </x:c>
      <x:c r="B45" s="12"/>
      <x:c r="C45" s="12"/>
      <x:c r="D45" s="15"/>
      <x:c r="E45" s="16"/>
      <x:c r="F45" s="11"/>
      <x:c r="G45" s="12"/>
      <x:c r="H45" s="12"/>
      <x:c r="I45" s="15"/>
      <x:c r="J45" s="16"/>
      <x:c r="K45" s="11"/>
      <x:c r="L45" s="11"/>
      <x:c r="M45" s="17">
        <x:f>IF(AND(B45&lt;&gt;"",$E$6&lt;&gt;""),IF(B45&gt;=$E$6-0.5,1,0),"")</x:f>
      </x:c>
      <x:c r="N45" s="17">
        <x:f>IF(AND(G45&lt;&gt;"",$B$7&lt;&gt;""),IF(G45&gt;=$B$7-0.5,1,0),"")</x:f>
      </x:c>
    </x:row>
    <x:row r="46" spans="1:20">
      <x:c r="A46" s="14">
        <x:v>32</x:v>
      </x:c>
      <x:c r="B46" s="12"/>
      <x:c r="C46" s="12"/>
      <x:c r="D46" s="15"/>
      <x:c r="E46" s="16"/>
      <x:c r="F46" s="11"/>
      <x:c r="G46" s="12"/>
      <x:c r="H46" s="12"/>
      <x:c r="I46" s="15"/>
      <x:c r="J46" s="16"/>
      <x:c r="K46" s="11"/>
      <x:c r="L46" s="11"/>
      <x:c r="M46" s="17">
        <x:f>IF(AND(B46&lt;&gt;"",$E$6&lt;&gt;""),IF(B46&gt;=$E$6-0.5,1,0),"")</x:f>
      </x:c>
      <x:c r="N46" s="17">
        <x:f>IF(AND(G46&lt;&gt;"",$B$7&lt;&gt;""),IF(G46&gt;=$B$7-0.5,1,0),"")</x:f>
      </x:c>
    </x:row>
    <x:row r="47" spans="1:20">
      <x:c r="A47" s="14">
        <x:v>33</x:v>
      </x:c>
      <x:c r="B47" s="12"/>
      <x:c r="C47" s="12"/>
      <x:c r="D47" s="15"/>
      <x:c r="E47" s="16"/>
      <x:c r="F47" s="11"/>
      <x:c r="G47" s="12"/>
      <x:c r="H47" s="12"/>
      <x:c r="I47" s="15"/>
      <x:c r="J47" s="16"/>
      <x:c r="K47" s="11"/>
      <x:c r="L47" s="11"/>
      <x:c r="M47" s="17">
        <x:f>IF(AND(B47&lt;&gt;"",$E$6&lt;&gt;""),IF(B47&gt;=$E$6-0.5,1,0),"")</x:f>
      </x:c>
      <x:c r="N47" s="17">
        <x:f>IF(AND(G47&lt;&gt;"",$B$7&lt;&gt;""),IF(G47&gt;=$B$7-0.5,1,0),"")</x:f>
      </x:c>
    </x:row>
    <x:row r="48" spans="1:20">
      <x:c r="A48" s="14">
        <x:v>34</x:v>
      </x:c>
      <x:c r="B48" s="12"/>
      <x:c r="C48" s="12"/>
      <x:c r="D48" s="15"/>
      <x:c r="E48" s="16"/>
      <x:c r="F48" s="11"/>
      <x:c r="G48" s="12"/>
      <x:c r="H48" s="12"/>
      <x:c r="I48" s="15"/>
      <x:c r="J48" s="16"/>
      <x:c r="K48" s="11"/>
      <x:c r="L48" s="11"/>
      <x:c r="M48" s="17">
        <x:f>IF(AND(B48&lt;&gt;"",$E$6&lt;&gt;""),IF(B48&gt;=$E$6-0.5,1,0),"")</x:f>
      </x:c>
      <x:c r="N48" s="17">
        <x:f>IF(AND(G48&lt;&gt;"",$B$7&lt;&gt;""),IF(G48&gt;=$B$7-0.5,1,0),"")</x:f>
      </x:c>
    </x:row>
    <x:row r="49" spans="1:20">
      <x:c r="A49" s="14">
        <x:v>35</x:v>
      </x:c>
      <x:c r="B49" s="12"/>
      <x:c r="C49" s="12"/>
      <x:c r="D49" s="15"/>
      <x:c r="E49" s="16"/>
      <x:c r="F49" s="11"/>
      <x:c r="G49" s="12"/>
      <x:c r="H49" s="12"/>
      <x:c r="I49" s="15"/>
      <x:c r="J49" s="16"/>
      <x:c r="K49" s="11"/>
      <x:c r="L49" s="11"/>
      <x:c r="M49" s="17">
        <x:f>IF(AND(B49&lt;&gt;"",$E$6&lt;&gt;""),IF(B49&gt;=$E$6-0.5,1,0),"")</x:f>
      </x:c>
      <x:c r="N49" s="17">
        <x:f>IF(AND(G49&lt;&gt;"",$B$7&lt;&gt;""),IF(G49&gt;=$B$7-0.5,1,0),"")</x:f>
      </x:c>
    </x:row>
    <x:row r="50" spans="1:20">
      <x:c r="A50" s="14">
        <x:v>36</x:v>
      </x:c>
      <x:c r="B50" s="12"/>
      <x:c r="C50" s="12"/>
      <x:c r="D50" s="15"/>
      <x:c r="E50" s="16"/>
      <x:c r="F50" s="11"/>
      <x:c r="G50" s="12"/>
      <x:c r="H50" s="12"/>
      <x:c r="I50" s="15"/>
      <x:c r="J50" s="16"/>
      <x:c r="K50" s="11"/>
      <x:c r="L50" s="11"/>
      <x:c r="M50" s="17">
        <x:f>IF(AND(B50&lt;&gt;"",$E$6&lt;&gt;""),IF(B50&gt;=$E$6-0.5,1,0),"")</x:f>
      </x:c>
      <x:c r="N50" s="17">
        <x:f>IF(AND(G50&lt;&gt;"",$B$7&lt;&gt;""),IF(G50&gt;=$B$7-0.5,1,0),"")</x:f>
      </x:c>
    </x:row>
    <x:row r="51" spans="1:20">
      <x:c r="A51" s="14">
        <x:v>37</x:v>
      </x:c>
      <x:c r="B51" s="12"/>
      <x:c r="C51" s="12"/>
      <x:c r="D51" s="15"/>
      <x:c r="E51" s="16"/>
      <x:c r="F51" s="11"/>
      <x:c r="G51" s="12"/>
      <x:c r="H51" s="12"/>
      <x:c r="I51" s="15"/>
      <x:c r="J51" s="16"/>
      <x:c r="K51" s="11"/>
      <x:c r="L51" s="11"/>
      <x:c r="M51" s="17">
        <x:f>IF(AND(B51&lt;&gt;"",$E$6&lt;&gt;""),IF(B51&gt;=$E$6-0.5,1,0),"")</x:f>
      </x:c>
      <x:c r="N51" s="17">
        <x:f>IF(AND(G51&lt;&gt;"",$B$7&lt;&gt;""),IF(G51&gt;=$B$7-0.5,1,0),"")</x:f>
      </x:c>
    </x:row>
    <x:row r="52" spans="1:20">
      <x:c r="A52" s="14">
        <x:v>38</x:v>
      </x:c>
      <x:c r="B52" s="12"/>
      <x:c r="C52" s="12"/>
      <x:c r="D52" s="15"/>
      <x:c r="E52" s="16"/>
      <x:c r="F52" s="11"/>
      <x:c r="G52" s="12"/>
      <x:c r="H52" s="12"/>
      <x:c r="I52" s="15"/>
      <x:c r="J52" s="16"/>
      <x:c r="K52" s="11"/>
      <x:c r="L52" s="11"/>
      <x:c r="M52" s="17">
        <x:f>IF(AND(B52&lt;&gt;"",$E$6&lt;&gt;""),IF(B52&gt;=$E$6-0.5,1,0),"")</x:f>
      </x:c>
      <x:c r="N52" s="17">
        <x:f>IF(AND(G52&lt;&gt;"",$B$7&lt;&gt;""),IF(G52&gt;=$B$7-0.5,1,0),"")</x:f>
      </x:c>
    </x:row>
    <x:row r="53" spans="1:20">
      <x:c r="A53" s="14">
        <x:v>39</x:v>
      </x:c>
      <x:c r="B53" s="12"/>
      <x:c r="C53" s="12"/>
      <x:c r="D53" s="15"/>
      <x:c r="E53" s="16"/>
      <x:c r="F53" s="11"/>
      <x:c r="G53" s="12"/>
      <x:c r="H53" s="12"/>
      <x:c r="I53" s="15"/>
      <x:c r="J53" s="16"/>
      <x:c r="K53" s="11"/>
      <x:c r="L53" s="11"/>
      <x:c r="M53" s="17">
        <x:f>IF(AND(B53&lt;&gt;"",$E$6&lt;&gt;""),IF(B53&gt;=$E$6-0.5,1,0),"")</x:f>
      </x:c>
      <x:c r="N53" s="17">
        <x:f>IF(AND(G53&lt;&gt;"",$B$7&lt;&gt;""),IF(G53&gt;=$B$7-0.5,1,0),"")</x:f>
      </x:c>
    </x:row>
    <x:row r="54" spans="1:20">
      <x:c r="A54" s="14">
        <x:v>40</x:v>
      </x:c>
      <x:c r="B54" s="12"/>
      <x:c r="C54" s="12"/>
      <x:c r="D54" s="15"/>
      <x:c r="E54" s="16"/>
      <x:c r="F54" s="11"/>
      <x:c r="G54" s="12"/>
      <x:c r="H54" s="12"/>
      <x:c r="I54" s="15"/>
      <x:c r="J54" s="16"/>
      <x:c r="K54" s="11"/>
      <x:c r="L54" s="11"/>
      <x:c r="M54" s="17">
        <x:f>IF(AND(B54&lt;&gt;"",$E$6&lt;&gt;""),IF(B54&gt;=$E$6-0.5,1,0),"")</x:f>
      </x:c>
      <x:c r="N54" s="17">
        <x:f>IF(AND(G54&lt;&gt;"",$B$7&lt;&gt;""),IF(G54&gt;=$B$7-0.5,1,0),"")</x:f>
      </x:c>
    </x:row>
    <x:row r="55" spans="1:20">
      <x:c r="A55" s="14">
        <x:v>41</x:v>
      </x:c>
      <x:c r="B55" s="12"/>
      <x:c r="C55" s="12"/>
      <x:c r="D55" s="15"/>
      <x:c r="E55" s="16"/>
      <x:c r="F55" s="11"/>
      <x:c r="G55" s="12"/>
      <x:c r="H55" s="12"/>
      <x:c r="I55" s="15"/>
      <x:c r="J55" s="16"/>
      <x:c r="K55" s="11"/>
      <x:c r="L55" s="11"/>
      <x:c r="M55" s="17">
        <x:f>IF(AND(B55&lt;&gt;"",$E$6&lt;&gt;""),IF(B55&gt;=$E$6-0.5,1,0),"")</x:f>
      </x:c>
      <x:c r="N55" s="17">
        <x:f>IF(AND(G55&lt;&gt;"",$B$7&lt;&gt;""),IF(G55&gt;=$B$7-0.5,1,0),"")</x:f>
      </x:c>
    </x:row>
    <x:row r="56" spans="1:20">
      <x:c r="A56" s="14">
        <x:v>42</x:v>
      </x:c>
      <x:c r="B56" s="12"/>
      <x:c r="C56" s="12"/>
      <x:c r="D56" s="15"/>
      <x:c r="E56" s="16"/>
      <x:c r="F56" s="11"/>
      <x:c r="G56" s="12"/>
      <x:c r="H56" s="12"/>
      <x:c r="I56" s="15"/>
      <x:c r="J56" s="16"/>
      <x:c r="K56" s="11"/>
      <x:c r="L56" s="11"/>
      <x:c r="M56" s="17">
        <x:f>IF(AND(B56&lt;&gt;"",$E$6&lt;&gt;""),IF(B56&gt;=$E$6-0.5,1,0),"")</x:f>
      </x:c>
      <x:c r="N56" s="17">
        <x:f>IF(AND(G56&lt;&gt;"",$B$7&lt;&gt;""),IF(G56&gt;=$B$7-0.5,1,0),"")</x:f>
      </x:c>
    </x:row>
    <x:row r="57" spans="1:20">
      <x:c r="A57" s="14">
        <x:v>43</x:v>
      </x:c>
      <x:c r="B57" s="12"/>
      <x:c r="C57" s="12"/>
      <x:c r="D57" s="15"/>
      <x:c r="E57" s="16"/>
      <x:c r="F57" s="11"/>
      <x:c r="G57" s="12"/>
      <x:c r="H57" s="12"/>
      <x:c r="I57" s="15"/>
      <x:c r="J57" s="16"/>
      <x:c r="K57" s="11"/>
      <x:c r="L57" s="11"/>
      <x:c r="M57" s="17">
        <x:f>IF(AND(B57&lt;&gt;"",$E$6&lt;&gt;""),IF(B57&gt;=$E$6-0.5,1,0),"")</x:f>
      </x:c>
      <x:c r="N57" s="17">
        <x:f>IF(AND(G57&lt;&gt;"",$B$7&lt;&gt;""),IF(G57&gt;=$B$7-0.5,1,0),"")</x:f>
      </x:c>
    </x:row>
    <x:row r="58" spans="1:20">
      <x:c r="A58" s="14">
        <x:v>44</x:v>
      </x:c>
      <x:c r="B58" s="12"/>
      <x:c r="C58" s="12"/>
      <x:c r="D58" s="15"/>
      <x:c r="E58" s="16"/>
      <x:c r="F58" s="11"/>
      <x:c r="G58" s="12"/>
      <x:c r="H58" s="12"/>
      <x:c r="I58" s="15"/>
      <x:c r="J58" s="16"/>
      <x:c r="K58" s="11"/>
      <x:c r="L58" s="11"/>
      <x:c r="M58" s="17">
        <x:f>IF(AND(B58&lt;&gt;"",$E$6&lt;&gt;""),IF(B58&gt;=$E$6-0.5,1,0),"")</x:f>
      </x:c>
      <x:c r="N58" s="17">
        <x:f>IF(AND(G58&lt;&gt;"",$B$7&lt;&gt;""),IF(G58&gt;=$B$7-0.5,1,0),"")</x:f>
      </x:c>
    </x:row>
    <x:row r="59" spans="1:20">
      <x:c r="A59" s="14">
        <x:v>45</x:v>
      </x:c>
      <x:c r="B59" s="12"/>
      <x:c r="C59" s="12"/>
      <x:c r="D59" s="15"/>
      <x:c r="E59" s="16"/>
      <x:c r="F59" s="11"/>
      <x:c r="G59" s="12"/>
      <x:c r="H59" s="12"/>
      <x:c r="I59" s="15"/>
      <x:c r="J59" s="16"/>
      <x:c r="K59" s="11"/>
      <x:c r="L59" s="11"/>
      <x:c r="M59" s="17">
        <x:f>IF(AND(B59&lt;&gt;"",$E$6&lt;&gt;""),IF(B59&gt;=$E$6-0.5,1,0),"")</x:f>
      </x:c>
      <x:c r="N59" s="17">
        <x:f>IF(AND(G59&lt;&gt;"",$B$7&lt;&gt;""),IF(G59&gt;=$B$7-0.5,1,0),"")</x:f>
      </x:c>
    </x:row>
    <x:row r="60" spans="1:20">
      <x:c r="A60" s="14">
        <x:v>46</x:v>
      </x:c>
      <x:c r="B60" s="12"/>
      <x:c r="C60" s="12"/>
      <x:c r="D60" s="15"/>
      <x:c r="E60" s="16"/>
      <x:c r="F60" s="11"/>
      <x:c r="G60" s="12"/>
      <x:c r="H60" s="12"/>
      <x:c r="I60" s="15"/>
      <x:c r="J60" s="16"/>
      <x:c r="K60" s="11"/>
      <x:c r="L60" s="11"/>
      <x:c r="M60" s="17">
        <x:f>IF(AND(B60&lt;&gt;"",$E$6&lt;&gt;""),IF(B60&gt;=$E$6-0.5,1,0),"")</x:f>
      </x:c>
      <x:c r="N60" s="17">
        <x:f>IF(AND(G60&lt;&gt;"",$B$7&lt;&gt;""),IF(G60&gt;=$B$7-0.5,1,0),"")</x:f>
      </x:c>
    </x:row>
    <x:row r="61" spans="1:20">
      <x:c r="A61" s="14">
        <x:v>47</x:v>
      </x:c>
      <x:c r="B61" s="12"/>
      <x:c r="C61" s="12"/>
      <x:c r="D61" s="15"/>
      <x:c r="E61" s="16"/>
      <x:c r="F61" s="11"/>
      <x:c r="G61" s="12"/>
      <x:c r="H61" s="12"/>
      <x:c r="I61" s="15"/>
      <x:c r="J61" s="16"/>
      <x:c r="K61" s="11"/>
      <x:c r="L61" s="11"/>
      <x:c r="M61" s="17">
        <x:f>IF(AND(B61&lt;&gt;"",$E$6&lt;&gt;""),IF(B61&gt;=$E$6-0.5,1,0),"")</x:f>
      </x:c>
      <x:c r="N61" s="17">
        <x:f>IF(AND(G61&lt;&gt;"",$B$7&lt;&gt;""),IF(G61&gt;=$B$7-0.5,1,0),"")</x:f>
      </x:c>
    </x:row>
    <x:row r="62" spans="1:20">
      <x:c r="A62" s="14">
        <x:v>48</x:v>
      </x:c>
      <x:c r="B62" s="12"/>
      <x:c r="C62" s="12"/>
      <x:c r="D62" s="15"/>
      <x:c r="E62" s="16"/>
      <x:c r="F62" s="11"/>
      <x:c r="G62" s="12"/>
      <x:c r="H62" s="12"/>
      <x:c r="I62" s="15"/>
      <x:c r="J62" s="16"/>
      <x:c r="K62" s="11"/>
      <x:c r="L62" s="11"/>
      <x:c r="M62" s="17">
        <x:f>IF(AND(B62&lt;&gt;"",$E$6&lt;&gt;""),IF(B62&gt;=$E$6-0.5,1,0),"")</x:f>
      </x:c>
      <x:c r="N62" s="17">
        <x:f>IF(AND(G62&lt;&gt;"",$B$7&lt;&gt;""),IF(G62&gt;=$B$7-0.5,1,0),"")</x:f>
      </x:c>
    </x:row>
    <x:row r="63" spans="1:20">
      <x:c r="A63" s="14">
        <x:v>49</x:v>
      </x:c>
      <x:c r="B63" s="12"/>
      <x:c r="C63" s="12"/>
      <x:c r="D63" s="15"/>
      <x:c r="E63" s="16"/>
      <x:c r="F63" s="11"/>
      <x:c r="G63" s="12"/>
      <x:c r="H63" s="12"/>
      <x:c r="I63" s="15"/>
      <x:c r="J63" s="16"/>
      <x:c r="K63" s="11"/>
      <x:c r="L63" s="11"/>
      <x:c r="M63" s="17">
        <x:f>IF(AND(B63&lt;&gt;"",$E$6&lt;&gt;""),IF(B63&gt;=$E$6-0.5,1,0),"")</x:f>
      </x:c>
      <x:c r="N63" s="17">
        <x:f>IF(AND(G63&lt;&gt;"",$B$7&lt;&gt;""),IF(G63&gt;=$B$7-0.5,1,0),"")</x:f>
      </x:c>
    </x:row>
    <x:row r="64" spans="1:20">
      <x:c r="A64" s="14">
        <x:v>50</x:v>
      </x:c>
      <x:c r="B64" s="12"/>
      <x:c r="C64" s="12"/>
      <x:c r="D64" s="15"/>
      <x:c r="E64" s="16"/>
      <x:c r="F64" s="11"/>
      <x:c r="G64" s="12"/>
      <x:c r="H64" s="12"/>
      <x:c r="I64" s="15"/>
      <x:c r="J64" s="16"/>
      <x:c r="K64" s="11"/>
      <x:c r="L64" s="11"/>
      <x:c r="M64" s="17">
        <x:f>IF(AND(B64&lt;&gt;"",$E$6&lt;&gt;""),IF(B64&gt;=$E$6-0.5,1,0),"")</x:f>
      </x:c>
      <x:c r="N64" s="17">
        <x:f>IF(AND(G64&lt;&gt;"",$B$7&lt;&gt;""),IF(G64&gt;=$B$7-0.5,1,0),"")</x:f>
      </x:c>
    </x:row>
    <x:row r="65" spans="1:20">
      <x:c r="A65" s="14">
        <x:v>51</x:v>
      </x:c>
      <x:c r="B65" s="12"/>
      <x:c r="C65" s="12"/>
      <x:c r="D65" s="15"/>
      <x:c r="E65" s="16"/>
      <x:c r="F65" s="11"/>
      <x:c r="G65" s="12"/>
      <x:c r="H65" s="12"/>
      <x:c r="I65" s="15"/>
      <x:c r="J65" s="16"/>
      <x:c r="K65" s="11"/>
      <x:c r="L65" s="11"/>
      <x:c r="M65" s="17">
        <x:f>IF(AND(B65&lt;&gt;"",$E$6&lt;&gt;""),IF(B65&gt;=$E$6-0.5,1,0),"")</x:f>
      </x:c>
      <x:c r="N65" s="17">
        <x:f>IF(AND(G65&lt;&gt;"",$B$7&lt;&gt;""),IF(G65&gt;=$B$7-0.5,1,0),"")</x:f>
      </x:c>
    </x:row>
    <x:row r="66" spans="1:20">
      <x:c r="A66" s="14">
        <x:v>52</x:v>
      </x:c>
      <x:c r="B66" s="12"/>
      <x:c r="C66" s="12"/>
      <x:c r="D66" s="15"/>
      <x:c r="E66" s="16"/>
      <x:c r="F66" s="11"/>
      <x:c r="G66" s="12"/>
      <x:c r="H66" s="12"/>
      <x:c r="I66" s="15"/>
      <x:c r="J66" s="16"/>
      <x:c r="K66" s="11"/>
      <x:c r="L66" s="11"/>
      <x:c r="M66" s="17">
        <x:f>IF(AND(B66&lt;&gt;"",$E$6&lt;&gt;""),IF(B66&gt;=$E$6-0.5,1,0),"")</x:f>
      </x:c>
      <x:c r="N66" s="17">
        <x:f>IF(AND(G66&lt;&gt;"",$B$7&lt;&gt;""),IF(G66&gt;=$B$7-0.5,1,0),"")</x:f>
      </x:c>
    </x:row>
    <x:row r="67" spans="1:20">
      <x:c r="A67" s="14">
        <x:v>53</x:v>
      </x:c>
      <x:c r="B67" s="12"/>
      <x:c r="C67" s="12"/>
      <x:c r="D67" s="15"/>
      <x:c r="E67" s="16"/>
      <x:c r="F67" s="11"/>
      <x:c r="G67" s="12"/>
      <x:c r="H67" s="12"/>
      <x:c r="I67" s="15"/>
      <x:c r="J67" s="16"/>
      <x:c r="K67" s="11"/>
      <x:c r="L67" s="11"/>
      <x:c r="M67" s="17">
        <x:f>IF(AND(B67&lt;&gt;"",$E$6&lt;&gt;""),IF(B67&gt;=$E$6-0.5,1,0),"")</x:f>
      </x:c>
      <x:c r="N67" s="17">
        <x:f>IF(AND(G67&lt;&gt;"",$B$7&lt;&gt;""),IF(G67&gt;=$B$7-0.5,1,0),"")</x:f>
      </x:c>
    </x:row>
    <x:row r="68" spans="1:20">
      <x:c r="A68" s="14">
        <x:v>54</x:v>
      </x:c>
      <x:c r="B68" s="12"/>
      <x:c r="C68" s="12"/>
      <x:c r="D68" s="15"/>
      <x:c r="E68" s="16"/>
      <x:c r="F68" s="11"/>
      <x:c r="G68" s="12"/>
      <x:c r="H68" s="12"/>
      <x:c r="I68" s="15"/>
      <x:c r="J68" s="16"/>
      <x:c r="K68" s="11"/>
      <x:c r="L68" s="11"/>
      <x:c r="M68" s="17">
        <x:f>IF(AND(B68&lt;&gt;"",$E$6&lt;&gt;""),IF(B68&gt;=$E$6-0.5,1,0),"")</x:f>
      </x:c>
      <x:c r="N68" s="17">
        <x:f>IF(AND(G68&lt;&gt;"",$B$7&lt;&gt;""),IF(G68&gt;=$B$7-0.5,1,0),"")</x:f>
      </x:c>
    </x:row>
    <x:row r="69" spans="1:20">
      <x:c r="A69" s="14">
        <x:v>55</x:v>
      </x:c>
      <x:c r="B69" s="12"/>
      <x:c r="C69" s="12"/>
      <x:c r="D69" s="15"/>
      <x:c r="E69" s="16"/>
      <x:c r="F69" s="11"/>
      <x:c r="G69" s="12"/>
      <x:c r="H69" s="12"/>
      <x:c r="I69" s="15"/>
      <x:c r="J69" s="16"/>
      <x:c r="K69" s="11"/>
      <x:c r="L69" s="11"/>
      <x:c r="M69" s="17">
        <x:f>IF(AND(B69&lt;&gt;"",$E$6&lt;&gt;""),IF(B69&gt;=$E$6-0.5,1,0),"")</x:f>
      </x:c>
      <x:c r="N69" s="17">
        <x:f>IF(AND(G69&lt;&gt;"",$B$7&lt;&gt;""),IF(G69&gt;=$B$7-0.5,1,0),"")</x:f>
      </x:c>
    </x:row>
    <x:row r="70" spans="1:20">
      <x:c r="A70" s="14">
        <x:v>56</x:v>
      </x:c>
      <x:c r="B70" s="12"/>
      <x:c r="C70" s="12"/>
      <x:c r="D70" s="15"/>
      <x:c r="E70" s="16"/>
      <x:c r="F70" s="11"/>
      <x:c r="G70" s="12"/>
      <x:c r="H70" s="12"/>
      <x:c r="I70" s="15"/>
      <x:c r="J70" s="16"/>
      <x:c r="K70" s="11"/>
      <x:c r="L70" s="11"/>
      <x:c r="M70" s="17">
        <x:f>IF(AND(B70&lt;&gt;"",$E$6&lt;&gt;""),IF(B70&gt;=$E$6-0.5,1,0),"")</x:f>
      </x:c>
      <x:c r="N70" s="17">
        <x:f>IF(AND(G70&lt;&gt;"",$B$7&lt;&gt;""),IF(G70&gt;=$B$7-0.5,1,0),"")</x:f>
      </x:c>
    </x:row>
    <x:row r="71" spans="1:20">
      <x:c r="A71" s="14">
        <x:v>57</x:v>
      </x:c>
      <x:c r="B71" s="12"/>
      <x:c r="C71" s="12"/>
      <x:c r="D71" s="15"/>
      <x:c r="E71" s="16"/>
      <x:c r="F71" s="11"/>
      <x:c r="G71" s="12"/>
      <x:c r="H71" s="12"/>
      <x:c r="I71" s="15"/>
      <x:c r="J71" s="16"/>
      <x:c r="K71" s="11"/>
      <x:c r="L71" s="11"/>
      <x:c r="M71" s="17">
        <x:f>IF(AND(B71&lt;&gt;"",$E$6&lt;&gt;""),IF(B71&gt;=$E$6-0.5,1,0),"")</x:f>
      </x:c>
      <x:c r="N71" s="17">
        <x:f>IF(AND(G71&lt;&gt;"",$B$7&lt;&gt;""),IF(G71&gt;=$B$7-0.5,1,0),"")</x:f>
      </x:c>
    </x:row>
    <x:row r="72" spans="1:20">
      <x:c r="A72" s="14">
        <x:v>58</x:v>
      </x:c>
      <x:c r="B72" s="12"/>
      <x:c r="C72" s="12"/>
      <x:c r="D72" s="15"/>
      <x:c r="E72" s="16"/>
      <x:c r="F72" s="11"/>
      <x:c r="G72" s="12"/>
      <x:c r="H72" s="12"/>
      <x:c r="I72" s="15"/>
      <x:c r="J72" s="16"/>
      <x:c r="K72" s="11"/>
      <x:c r="L72" s="11"/>
      <x:c r="M72" s="17">
        <x:f>IF(AND(B72&lt;&gt;"",$E$6&lt;&gt;""),IF(B72&gt;=$E$6-0.5,1,0),"")</x:f>
      </x:c>
      <x:c r="N72" s="17">
        <x:f>IF(AND(G72&lt;&gt;"",$B$7&lt;&gt;""),IF(G72&gt;=$B$7-0.5,1,0),"")</x:f>
      </x:c>
    </x:row>
    <x:row r="73" spans="1:20">
      <x:c r="A73" s="14">
        <x:v>59</x:v>
      </x:c>
      <x:c r="B73" s="12"/>
      <x:c r="C73" s="12"/>
      <x:c r="D73" s="15"/>
      <x:c r="E73" s="16"/>
      <x:c r="F73" s="11"/>
      <x:c r="G73" s="12"/>
      <x:c r="H73" s="12"/>
      <x:c r="I73" s="15"/>
      <x:c r="J73" s="16"/>
      <x:c r="K73" s="11"/>
      <x:c r="L73" s="11"/>
      <x:c r="M73" s="17">
        <x:f>IF(AND(B73&lt;&gt;"",$E$6&lt;&gt;""),IF(B73&gt;=$E$6-0.5,1,0),"")</x:f>
      </x:c>
      <x:c r="N73" s="17">
        <x:f>IF(AND(G73&lt;&gt;"",$B$7&lt;&gt;""),IF(G73&gt;=$B$7-0.5,1,0),"")</x:f>
      </x:c>
    </x:row>
    <x:row r="74" spans="1:20">
      <x:c r="A74" s="14">
        <x:v>60</x:v>
      </x:c>
      <x:c r="B74" s="12"/>
      <x:c r="C74" s="12"/>
      <x:c r="D74" s="15"/>
      <x:c r="E74" s="16"/>
      <x:c r="F74" s="11"/>
      <x:c r="G74" s="12"/>
      <x:c r="H74" s="12"/>
      <x:c r="I74" s="15"/>
      <x:c r="J74" s="16"/>
      <x:c r="K74" s="11"/>
      <x:c r="L74" s="11"/>
      <x:c r="M74" s="17">
        <x:f>IF(AND(B74&lt;&gt;"",$E$6&lt;&gt;""),IF(B74&gt;=$E$6-0.5,1,0),"")</x:f>
      </x:c>
      <x:c r="N74" s="17">
        <x:f>IF(AND(G74&lt;&gt;"",$B$7&lt;&gt;""),IF(G74&gt;=$B$7-0.5,1,0),"")</x:f>
      </x:c>
    </x:row>
  </x:sheetData>
  <x:mergeCells count="15">
    <x:mergeCell ref="B4:C4"/>
    <x:mergeCell ref="E4:F4"/>
    <x:mergeCell ref="B5:C5"/>
    <x:mergeCell ref="E5:F5"/>
    <x:mergeCell ref="B6:C6"/>
    <x:mergeCell ref="E6:F6"/>
    <x:mergeCell ref="B7:C7"/>
    <x:mergeCell ref="E7:F7"/>
    <x:mergeCell ref="B8:C8"/>
    <x:mergeCell ref="E8:F8"/>
    <x:mergeCell ref="B9:C9"/>
    <x:mergeCell ref="E9:F9"/>
    <x:mergeCell ref="B10:C10"/>
    <x:mergeCell ref="E10:F10"/>
    <x:mergeCell ref="B11:C11"/>
  </x:mergeCells>
  <x:dataValidations count="1">
    <x:dataValidation type="list" errorStyle="stop" operator="between" allowBlank="1" showDropDown="0" showInputMessage="1" showErrorMessage="1" errorTitle="" error="" promptTitle="" prompt="" sqref="E7:E7">
      <x:formula1>"尽快,按速率,按时长"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22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74"/>
  <x:sheetViews>
    <x:sheetView workbookViewId="0">
      <x:pane xSplit="1" ySplit="13" topLeftCell="B14" activePane="bottomRight" state="frozenSplit"/>
    </x:sheetView>
  </x:sheetViews>
  <x:sheetFormatPr defaultRowHeight="15"/>
  <x:cols>
    <x:col min="1" max="1" width="10.710625" style="0" customWidth="1"/>
    <x:col min="2" max="2" width="11.710625" style="0" customWidth="1"/>
    <x:col min="3" max="4" width="10.710625" style="0" customWidth="1"/>
    <x:col min="5" max="5" width="11.710625" style="0" customWidth="1"/>
    <x:col min="6" max="6" width="9.710625" style="0" customWidth="1"/>
    <x:col min="7" max="7" width="11.710625" style="0" customWidth="1"/>
    <x:col min="8" max="9" width="10.710625" style="0" customWidth="1"/>
    <x:col min="10" max="10" width="11.710625" style="0" customWidth="1"/>
    <x:col min="11" max="11" width="9.710625" style="0" customWidth="1"/>
    <x:col min="12" max="12" width="22.710625" style="0" customWidth="1"/>
    <x:col min="13" max="14" width="10.710625" style="0" customWidth="1"/>
    <x:col min="15" max="15" width="9.140625" style="0" customWidth="1"/>
    <x:col min="16" max="16" width="36.710625" style="0" customWidth="1"/>
    <x:col min="17" max="17" width="14.710625" style="0" customWidth="1"/>
    <x:col min="18" max="20" width="9.140625" style="0" customWidth="1"/>
  </x:cols>
  <x:sheetData>
    <x:row r="1" spans="1:20">
      <x:c r="A1" s="1" t="s">
        <x:v>86</x:v>
      </x:c>
    </x:row>
    <x:row r="2" spans="1:20">
      <x:c r="A2" s="2" t="s">
        <x:v>70</x:v>
      </x:c>
    </x:row>
    <x:row r="4" spans="1:20">
      <x:c r="A4" s="8" t="s">
        <x:v>25</x:v>
      </x:c>
      <x:c r="B4" s="9"/>
      <x:c r="C4" s="10"/>
      <x:c r="D4" s="8" t="s">
        <x:v>26</x:v>
      </x:c>
      <x:c r="E4" s="11"/>
      <x:c r="F4" s="10"/>
    </x:row>
    <x:row r="5" spans="1:20">
      <x:c r="A5" s="8" t="s">
        <x:v>27</x:v>
      </x:c>
      <x:c r="B5" s="12"/>
      <x:c r="C5" s="10"/>
      <x:c r="D5" s="8" t="s">
        <x:v>28</x:v>
      </x:c>
      <x:c r="E5" s="12"/>
      <x:c r="F5" s="10"/>
    </x:row>
    <x:row r="6" spans="1:20">
      <x:c r="A6" s="8" t="s">
        <x:v>71</x:v>
      </x:c>
      <x:c r="B6" s="12"/>
      <x:c r="C6" s="10"/>
      <x:c r="D6" s="8" t="s">
        <x:v>29</x:v>
      </x:c>
      <x:c r="E6" s="12"/>
      <x:c r="F6" s="10"/>
    </x:row>
    <x:row r="7" spans="1:20">
      <x:c r="A7" s="8" t="s">
        <x:v>30</x:v>
      </x:c>
      <x:c r="B7" s="12"/>
      <x:c r="C7" s="10"/>
      <x:c r="D7" s="8" t="s">
        <x:v>31</x:v>
      </x:c>
      <x:c r="E7" s="11" t="s">
        <x:v>32</x:v>
      </x:c>
      <x:c r="F7" s="10"/>
    </x:row>
    <x:row r="8" spans="1:20">
      <x:c r="A8" s="8" t="s">
        <x:v>72</x:v>
      </x:c>
      <x:c r="B8" s="12"/>
      <x:c r="C8" s="10"/>
      <x:c r="D8" s="8" t="s">
        <x:v>73</x:v>
      </x:c>
      <x:c r="E8" s="12"/>
      <x:c r="F8" s="10"/>
    </x:row>
    <x:row r="9" spans="1:20">
      <x:c r="A9" s="8" t="s">
        <x:v>74</x:v>
      </x:c>
      <x:c r="B9" s="12"/>
      <x:c r="C9" s="10"/>
      <x:c r="D9" s="8" t="s">
        <x:v>75</x:v>
      </x:c>
      <x:c r="E9" s="12"/>
      <x:c r="F9" s="10"/>
    </x:row>
    <x:row r="10" spans="1:20">
      <x:c r="A10" s="8" t="s">
        <x:v>35</x:v>
      </x:c>
      <x:c r="B10" s="11"/>
      <x:c r="C10" s="10"/>
      <x:c r="D10" s="8" t="s">
        <x:v>36</x:v>
      </x:c>
      <x:c r="E10" s="11"/>
      <x:c r="F10" s="10"/>
    </x:row>
    <x:row r="11" spans="1:20">
      <x:c r="A11" s="8" t="s">
        <x:v>37</x:v>
      </x:c>
      <x:c r="B11" s="11"/>
      <x:c r="C11" s="10"/>
    </x:row>
    <x:row r="13" spans="1:20">
      <x:c r="A13" s="13" t="s">
        <x:v>38</x:v>
      </x:c>
      <x:c r="B13" s="13" t="s">
        <x:v>39</x:v>
      </x:c>
      <x:c r="C13" s="13" t="s">
        <x:v>40</x:v>
      </x:c>
      <x:c r="D13" s="13" t="s">
        <x:v>41</x:v>
      </x:c>
      <x:c r="E13" s="13" t="s">
        <x:v>42</x:v>
      </x:c>
      <x:c r="F13" s="13" t="s">
        <x:v>43</x:v>
      </x:c>
      <x:c r="G13" s="13" t="s">
        <x:v>44</x:v>
      </x:c>
      <x:c r="H13" s="13" t="s">
        <x:v>45</x:v>
      </x:c>
      <x:c r="I13" s="13" t="s">
        <x:v>46</x:v>
      </x:c>
      <x:c r="J13" s="13" t="s">
        <x:v>47</x:v>
      </x:c>
      <x:c r="K13" s="13" t="s">
        <x:v>48</x:v>
      </x:c>
      <x:c r="L13" s="13" t="s">
        <x:v>37</x:v>
      </x:c>
      <x:c r="M13" s="13" t="s">
        <x:v>49</x:v>
      </x:c>
      <x:c r="N13" s="13" t="s">
        <x:v>50</x:v>
      </x:c>
      <x:c r="P13" s="13" t="s">
        <x:v>51</x:v>
      </x:c>
      <x:c r="Q13" s="13" t="s">
        <x:v>52</x:v>
      </x:c>
    </x:row>
    <x:row r="14" spans="1:20">
      <x:c r="A14" s="14">
        <x:v>0</x:v>
      </x:c>
      <x:c r="B14" s="12"/>
      <x:c r="C14" s="12"/>
      <x:c r="D14" s="15"/>
      <x:c r="E14" s="16"/>
      <x:c r="F14" s="11"/>
      <x:c r="G14" s="12"/>
      <x:c r="H14" s="12"/>
      <x:c r="I14" s="15"/>
      <x:c r="J14" s="16"/>
      <x:c r="K14" s="11"/>
      <x:c r="L14" s="11"/>
      <x:c r="M14" s="17">
        <x:f>IF(AND(B14&lt;&gt;"",$E$6&lt;&gt;""),IF(B14&gt;=$E$6-0.5,1,0),"")</x:f>
      </x:c>
      <x:c r="N14" s="17">
        <x:f>IF(AND(G14&lt;&gt;"",$B$7&lt;&gt;""),IF(G14&gt;=$B$7-0.5,1,0),"")</x:f>
      </x:c>
      <x:c r="P14" s="8" t="s">
        <x:v>76</x:v>
      </x:c>
      <x:c r="Q14" s="18">
        <x:f>IF(COUNT(B14:B74)=0,"",MAX(B14:B74))</x:f>
      </x:c>
    </x:row>
    <x:row r="15" spans="1:20">
      <x:c r="A15" s="14">
        <x:v>1</x:v>
      </x:c>
      <x:c r="B15" s="12"/>
      <x:c r="C15" s="12"/>
      <x:c r="D15" s="15"/>
      <x:c r="E15" s="16"/>
      <x:c r="F15" s="11"/>
      <x:c r="G15" s="12"/>
      <x:c r="H15" s="12"/>
      <x:c r="I15" s="15"/>
      <x:c r="J15" s="16"/>
      <x:c r="K15" s="11"/>
      <x:c r="L15" s="11"/>
      <x:c r="M15" s="17">
        <x:f>IF(AND(B15&lt;&gt;"",$E$6&lt;&gt;""),IF(B15&gt;=$E$6-0.5,1,0),"")</x:f>
      </x:c>
      <x:c r="N15" s="17">
        <x:f>IF(AND(G15&lt;&gt;"",$B$7&lt;&gt;""),IF(G15&gt;=$B$7-0.5,1,0),"")</x:f>
      </x:c>
      <x:c r="P15" s="8" t="s">
        <x:v>77</x:v>
      </x:c>
      <x:c r="Q15" s="17">
        <x:f>IFERROR(INDEX($A$14:$A$74,MATCH(1,M14:M74,0)),"未到")</x:f>
      </x:c>
    </x:row>
    <x:row r="16" spans="1:20">
      <x:c r="A16" s="14">
        <x:v>2</x:v>
      </x:c>
      <x:c r="B16" s="12"/>
      <x:c r="C16" s="12"/>
      <x:c r="D16" s="15"/>
      <x:c r="E16" s="16"/>
      <x:c r="F16" s="11"/>
      <x:c r="G16" s="12"/>
      <x:c r="H16" s="12"/>
      <x:c r="I16" s="15"/>
      <x:c r="J16" s="16"/>
      <x:c r="K16" s="11"/>
      <x:c r="L16" s="11"/>
      <x:c r="M16" s="17">
        <x:f>IF(AND(B16&lt;&gt;"",$E$6&lt;&gt;""),IF(B16&gt;=$E$6-0.5,1,0),"")</x:f>
      </x:c>
      <x:c r="N16" s="17">
        <x:f>IF(AND(G16&lt;&gt;"",$B$7&lt;&gt;""),IF(G16&gt;=$B$7-0.5,1,0),"")</x:f>
      </x:c>
      <x:c r="P16" s="8" t="s">
        <x:v>78</x:v>
      </x:c>
      <x:c r="Q16" s="18">
        <x:f>IF(OR($Q$14="",$E$6=""),"",MAX(0,$Q$14-$E$6))</x:f>
      </x:c>
    </x:row>
    <x:row r="17" spans="1:20">
      <x:c r="A17" s="14">
        <x:v>3</x:v>
      </x:c>
      <x:c r="B17" s="12"/>
      <x:c r="C17" s="12"/>
      <x:c r="D17" s="15"/>
      <x:c r="E17" s="16"/>
      <x:c r="F17" s="11"/>
      <x:c r="G17" s="12"/>
      <x:c r="H17" s="12"/>
      <x:c r="I17" s="15"/>
      <x:c r="J17" s="16"/>
      <x:c r="K17" s="11"/>
      <x:c r="L17" s="11"/>
      <x:c r="M17" s="17">
        <x:f>IF(AND(B17&lt;&gt;"",$E$6&lt;&gt;""),IF(B17&gt;=$E$6-0.5,1,0),"")</x:f>
      </x:c>
      <x:c r="N17" s="17">
        <x:f>IF(AND(G17&lt;&gt;"",$B$7&lt;&gt;""),IF(G17&gt;=$B$7-0.5,1,0),"")</x:f>
      </x:c>
      <x:c r="P17" s="8" t="s">
        <x:v>79</x:v>
      </x:c>
      <x:c r="Q17" s="19">
        <x:f>IF(OR(B14="",B24="",A24=A14),"",(B24-B14)/(A24-A14))</x:f>
      </x:c>
    </x:row>
    <x:row r="18" spans="1:20">
      <x:c r="A18" s="14">
        <x:v>4</x:v>
      </x:c>
      <x:c r="B18" s="12"/>
      <x:c r="C18" s="12"/>
      <x:c r="D18" s="15"/>
      <x:c r="E18" s="16"/>
      <x:c r="F18" s="11"/>
      <x:c r="G18" s="12"/>
      <x:c r="H18" s="12"/>
      <x:c r="I18" s="15"/>
      <x:c r="J18" s="16"/>
      <x:c r="K18" s="11"/>
      <x:c r="L18" s="11"/>
      <x:c r="M18" s="17">
        <x:f>IF(AND(B18&lt;&gt;"",$E$6&lt;&gt;""),IF(B18&gt;=$E$6-0.5,1,0),"")</x:f>
      </x:c>
      <x:c r="N18" s="17">
        <x:f>IF(AND(G18&lt;&gt;"",$B$7&lt;&gt;""),IF(G18&gt;=$B$7-0.5,1,0),"")</x:f>
      </x:c>
      <x:c r="P18" s="8" t="s">
        <x:v>57</x:v>
      </x:c>
      <x:c r="Q18" s="18">
        <x:f>IF(COUNT(C14:C74)=0,"",AVERAGE(C14:C74))</x:f>
      </x:c>
    </x:row>
    <x:row r="19" spans="1:20">
      <x:c r="A19" s="14">
        <x:v>5</x:v>
      </x:c>
      <x:c r="B19" s="12"/>
      <x:c r="C19" s="12"/>
      <x:c r="D19" s="15"/>
      <x:c r="E19" s="16"/>
      <x:c r="F19" s="11"/>
      <x:c r="G19" s="12"/>
      <x:c r="H19" s="12"/>
      <x:c r="I19" s="15"/>
      <x:c r="J19" s="16"/>
      <x:c r="K19" s="11"/>
      <x:c r="L19" s="11"/>
      <x:c r="M19" s="17">
        <x:f>IF(AND(B19&lt;&gt;"",$E$6&lt;&gt;""),IF(B19&gt;=$E$6-0.5,1,0),"")</x:f>
      </x:c>
      <x:c r="N19" s="17">
        <x:f>IF(AND(G19&lt;&gt;"",$B$7&lt;&gt;""),IF(G19&gt;=$B$7-0.5,1,0),"")</x:f>
      </x:c>
      <x:c r="P19" s="8" t="s">
        <x:v>58</x:v>
      </x:c>
      <x:c r="Q19" s="20">
        <x:f>IF(COUNT(D14:D74)=0,"",MAX(D14:D74))</x:f>
      </x:c>
    </x:row>
    <x:row r="20" spans="1:20">
      <x:c r="A20" s="14">
        <x:v>6</x:v>
      </x:c>
      <x:c r="B20" s="12"/>
      <x:c r="C20" s="12"/>
      <x:c r="D20" s="15"/>
      <x:c r="E20" s="16"/>
      <x:c r="F20" s="11"/>
      <x:c r="G20" s="12"/>
      <x:c r="H20" s="12"/>
      <x:c r="I20" s="15"/>
      <x:c r="J20" s="16"/>
      <x:c r="K20" s="11"/>
      <x:c r="L20" s="11"/>
      <x:c r="M20" s="17">
        <x:f>IF(AND(B20&lt;&gt;"",$E$6&lt;&gt;""),IF(B20&gt;=$E$6-0.5,1,0),"")</x:f>
      </x:c>
      <x:c r="N20" s="17">
        <x:f>IF(AND(G20&lt;&gt;"",$B$7&lt;&gt;""),IF(G20&gt;=$B$7-0.5,1,0),"")</x:f>
      </x:c>
      <x:c r="P20" s="8" t="s">
        <x:v>80</x:v>
      </x:c>
      <x:c r="Q20" s="19">
        <x:f>IF(COUNT(E14:E74)=0,"",MAX(E14:E74))</x:f>
      </x:c>
    </x:row>
    <x:row r="21" spans="1:20">
      <x:c r="A21" s="14">
        <x:v>7</x:v>
      </x:c>
      <x:c r="B21" s="12"/>
      <x:c r="C21" s="12"/>
      <x:c r="D21" s="15"/>
      <x:c r="E21" s="16"/>
      <x:c r="F21" s="11"/>
      <x:c r="G21" s="12"/>
      <x:c r="H21" s="12"/>
      <x:c r="I21" s="15"/>
      <x:c r="J21" s="16"/>
      <x:c r="K21" s="11"/>
      <x:c r="L21" s="11"/>
      <x:c r="M21" s="17">
        <x:f>IF(AND(B21&lt;&gt;"",$E$6&lt;&gt;""),IF(B21&gt;=$E$6-0.5,1,0),"")</x:f>
      </x:c>
      <x:c r="N21" s="17">
        <x:f>IF(AND(G21&lt;&gt;"",$B$7&lt;&gt;""),IF(G21&gt;=$B$7-0.5,1,0),"")</x:f>
      </x:c>
    </x:row>
    <x:row r="22" spans="1:20">
      <x:c r="A22" s="14">
        <x:v>8</x:v>
      </x:c>
      <x:c r="B22" s="12"/>
      <x:c r="C22" s="12"/>
      <x:c r="D22" s="15"/>
      <x:c r="E22" s="16"/>
      <x:c r="F22" s="11"/>
      <x:c r="G22" s="12"/>
      <x:c r="H22" s="12"/>
      <x:c r="I22" s="15"/>
      <x:c r="J22" s="16"/>
      <x:c r="K22" s="11"/>
      <x:c r="L22" s="11"/>
      <x:c r="M22" s="17">
        <x:f>IF(AND(B22&lt;&gt;"",$E$6&lt;&gt;""),IF(B22&gt;=$E$6-0.5,1,0),"")</x:f>
      </x:c>
      <x:c r="N22" s="17">
        <x:f>IF(AND(G22&lt;&gt;"",$B$7&lt;&gt;""),IF(G22&gt;=$B$7-0.5,1,0),"")</x:f>
      </x:c>
      <x:c r="P22" s="8" t="s">
        <x:v>81</x:v>
      </x:c>
      <x:c r="Q22" s="18">
        <x:f>IF(COUNT(G14:G74)=0,"",MAX(G14:G74))</x:f>
      </x:c>
    </x:row>
    <x:row r="23" spans="1:20">
      <x:c r="A23" s="14">
        <x:v>9</x:v>
      </x:c>
      <x:c r="B23" s="12"/>
      <x:c r="C23" s="12"/>
      <x:c r="D23" s="15"/>
      <x:c r="E23" s="16"/>
      <x:c r="F23" s="11"/>
      <x:c r="G23" s="12"/>
      <x:c r="H23" s="12"/>
      <x:c r="I23" s="15"/>
      <x:c r="J23" s="16"/>
      <x:c r="K23" s="11"/>
      <x:c r="L23" s="11"/>
      <x:c r="M23" s="17">
        <x:f>IF(AND(B23&lt;&gt;"",$E$6&lt;&gt;""),IF(B23&gt;=$E$6-0.5,1,0),"")</x:f>
      </x:c>
      <x:c r="N23" s="17">
        <x:f>IF(AND(G23&lt;&gt;"",$B$7&lt;&gt;""),IF(G23&gt;=$B$7-0.5,1,0),"")</x:f>
      </x:c>
      <x:c r="P23" s="8" t="s">
        <x:v>82</x:v>
      </x:c>
      <x:c r="Q23" s="17">
        <x:f>IFERROR(INDEX($A$14:$A$74,MATCH(1,N14:N74,0)),"未到")</x:f>
      </x:c>
    </x:row>
    <x:row r="24" spans="1:20">
      <x:c r="A24" s="14">
        <x:v>10</x:v>
      </x:c>
      <x:c r="B24" s="12"/>
      <x:c r="C24" s="12"/>
      <x:c r="D24" s="15"/>
      <x:c r="E24" s="16"/>
      <x:c r="F24" s="11"/>
      <x:c r="G24" s="12"/>
      <x:c r="H24" s="12"/>
      <x:c r="I24" s="15"/>
      <x:c r="J24" s="16"/>
      <x:c r="K24" s="11"/>
      <x:c r="L24" s="11"/>
      <x:c r="M24" s="17">
        <x:f>IF(AND(B24&lt;&gt;"",$E$6&lt;&gt;""),IF(B24&gt;=$E$6-0.5,1,0),"")</x:f>
      </x:c>
      <x:c r="N24" s="17">
        <x:f>IF(AND(G24&lt;&gt;"",$B$7&lt;&gt;""),IF(G24&gt;=$B$7-0.5,1,0),"")</x:f>
      </x:c>
      <x:c r="P24" s="8" t="s">
        <x:v>83</x:v>
      </x:c>
      <x:c r="Q24" s="18">
        <x:f>IF(OR($Q$22="",$B$7=""),"",MAX(0,$Q$22-$B$7))</x:f>
      </x:c>
    </x:row>
    <x:row r="25" spans="1:20">
      <x:c r="A25" s="14">
        <x:v>11</x:v>
      </x:c>
      <x:c r="B25" s="12"/>
      <x:c r="C25" s="12"/>
      <x:c r="D25" s="15"/>
      <x:c r="E25" s="16"/>
      <x:c r="F25" s="11"/>
      <x:c r="G25" s="12"/>
      <x:c r="H25" s="12"/>
      <x:c r="I25" s="15"/>
      <x:c r="J25" s="16"/>
      <x:c r="K25" s="11"/>
      <x:c r="L25" s="11"/>
      <x:c r="M25" s="17">
        <x:f>IF(AND(B25&lt;&gt;"",$E$6&lt;&gt;""),IF(B25&gt;=$E$6-0.5,1,0),"")</x:f>
      </x:c>
      <x:c r="N25" s="17">
        <x:f>IF(AND(G25&lt;&gt;"",$B$7&lt;&gt;""),IF(G25&gt;=$B$7-0.5,1,0),"")</x:f>
      </x:c>
      <x:c r="P25" s="8" t="s">
        <x:v>84</x:v>
      </x:c>
      <x:c r="Q25" s="19">
        <x:f>IF(OR(G14="",G24="",A24=A14),"",(G24-G14)/(A24-A14))</x:f>
      </x:c>
    </x:row>
    <x:row r="26" spans="1:20">
      <x:c r="A26" s="14">
        <x:v>12</x:v>
      </x:c>
      <x:c r="B26" s="12"/>
      <x:c r="C26" s="12"/>
      <x:c r="D26" s="15"/>
      <x:c r="E26" s="16"/>
      <x:c r="F26" s="11"/>
      <x:c r="G26" s="12"/>
      <x:c r="H26" s="12"/>
      <x:c r="I26" s="15"/>
      <x:c r="J26" s="16"/>
      <x:c r="K26" s="11"/>
      <x:c r="L26" s="11"/>
      <x:c r="M26" s="17">
        <x:f>IF(AND(B26&lt;&gt;"",$E$6&lt;&gt;""),IF(B26&gt;=$E$6-0.5,1,0),"")</x:f>
      </x:c>
      <x:c r="N26" s="17">
        <x:f>IF(AND(G26&lt;&gt;"",$B$7&lt;&gt;""),IF(G26&gt;=$B$7-0.5,1,0),"")</x:f>
      </x:c>
      <x:c r="P26" s="8" t="s">
        <x:v>64</x:v>
      </x:c>
      <x:c r="Q26" s="18">
        <x:f>IF(COUNT(H14:H74)=0,"",AVERAGE(H14:H74))</x:f>
      </x:c>
    </x:row>
    <x:row r="27" spans="1:20">
      <x:c r="A27" s="14">
        <x:v>13</x:v>
      </x:c>
      <x:c r="B27" s="12"/>
      <x:c r="C27" s="12"/>
      <x:c r="D27" s="15"/>
      <x:c r="E27" s="16"/>
      <x:c r="F27" s="11"/>
      <x:c r="G27" s="12"/>
      <x:c r="H27" s="12"/>
      <x:c r="I27" s="15"/>
      <x:c r="J27" s="16"/>
      <x:c r="K27" s="11"/>
      <x:c r="L27" s="11"/>
      <x:c r="M27" s="17">
        <x:f>IF(AND(B27&lt;&gt;"",$E$6&lt;&gt;""),IF(B27&gt;=$E$6-0.5,1,0),"")</x:f>
      </x:c>
      <x:c r="N27" s="17">
        <x:f>IF(AND(G27&lt;&gt;"",$B$7&lt;&gt;""),IF(G27&gt;=$B$7-0.5,1,0),"")</x:f>
      </x:c>
      <x:c r="P27" s="8" t="s">
        <x:v>65</x:v>
      </x:c>
      <x:c r="Q27" s="20">
        <x:f>IF(COUNT(I14:I74)=0,"",MAX(I14:I74))</x:f>
      </x:c>
    </x:row>
    <x:row r="28" spans="1:20">
      <x:c r="A28" s="14">
        <x:v>14</x:v>
      </x:c>
      <x:c r="B28" s="12"/>
      <x:c r="C28" s="12"/>
      <x:c r="D28" s="15"/>
      <x:c r="E28" s="16"/>
      <x:c r="F28" s="11"/>
      <x:c r="G28" s="12"/>
      <x:c r="H28" s="12"/>
      <x:c r="I28" s="15"/>
      <x:c r="J28" s="16"/>
      <x:c r="K28" s="11"/>
      <x:c r="L28" s="11"/>
      <x:c r="M28" s="17">
        <x:f>IF(AND(B28&lt;&gt;"",$E$6&lt;&gt;""),IF(B28&gt;=$E$6-0.5,1,0),"")</x:f>
      </x:c>
      <x:c r="N28" s="17">
        <x:f>IF(AND(G28&lt;&gt;"",$B$7&lt;&gt;""),IF(G28&gt;=$B$7-0.5,1,0),"")</x:f>
      </x:c>
      <x:c r="P28" s="8" t="s">
        <x:v>85</x:v>
      </x:c>
      <x:c r="Q28" s="19">
        <x:f>IF(COUNT(J14:J74)=0,"",MAX(J14:J74))</x:f>
      </x:c>
    </x:row>
    <x:row r="29" spans="1:20">
      <x:c r="A29" s="14">
        <x:v>15</x:v>
      </x:c>
      <x:c r="B29" s="12"/>
      <x:c r="C29" s="12"/>
      <x:c r="D29" s="15"/>
      <x:c r="E29" s="16"/>
      <x:c r="F29" s="11"/>
      <x:c r="G29" s="12"/>
      <x:c r="H29" s="12"/>
      <x:c r="I29" s="15"/>
      <x:c r="J29" s="16"/>
      <x:c r="K29" s="11"/>
      <x:c r="L29" s="11"/>
      <x:c r="M29" s="17">
        <x:f>IF(AND(B29&lt;&gt;"",$E$6&lt;&gt;""),IF(B29&gt;=$E$6-0.5,1,0),"")</x:f>
      </x:c>
      <x:c r="N29" s="17">
        <x:f>IF(AND(G29&lt;&gt;"",$B$7&lt;&gt;""),IF(G29&gt;=$B$7-0.5,1,0),"")</x:f>
      </x:c>
    </x:row>
    <x:row r="30" spans="1:20">
      <x:c r="A30" s="14">
        <x:v>16</x:v>
      </x:c>
      <x:c r="B30" s="12"/>
      <x:c r="C30" s="12"/>
      <x:c r="D30" s="15"/>
      <x:c r="E30" s="16"/>
      <x:c r="F30" s="11"/>
      <x:c r="G30" s="12"/>
      <x:c r="H30" s="12"/>
      <x:c r="I30" s="15"/>
      <x:c r="J30" s="16"/>
      <x:c r="K30" s="11"/>
      <x:c r="L30" s="11"/>
      <x:c r="M30" s="17">
        <x:f>IF(AND(B30&lt;&gt;"",$E$6&lt;&gt;""),IF(B30&gt;=$E$6-0.5,1,0),"")</x:f>
      </x:c>
      <x:c r="N30" s="17">
        <x:f>IF(AND(G30&lt;&gt;"",$B$7&lt;&gt;""),IF(G30&gt;=$B$7-0.5,1,0),"")</x:f>
      </x:c>
    </x:row>
    <x:row r="31" spans="1:20">
      <x:c r="A31" s="14">
        <x:v>17</x:v>
      </x:c>
      <x:c r="B31" s="12"/>
      <x:c r="C31" s="12"/>
      <x:c r="D31" s="15"/>
      <x:c r="E31" s="16"/>
      <x:c r="F31" s="11"/>
      <x:c r="G31" s="12"/>
      <x:c r="H31" s="12"/>
      <x:c r="I31" s="15"/>
      <x:c r="J31" s="16"/>
      <x:c r="K31" s="11"/>
      <x:c r="L31" s="11"/>
      <x:c r="M31" s="17">
        <x:f>IF(AND(B31&lt;&gt;"",$E$6&lt;&gt;""),IF(B31&gt;=$E$6-0.5,1,0),"")</x:f>
      </x:c>
      <x:c r="N31" s="17">
        <x:f>IF(AND(G31&lt;&gt;"",$B$7&lt;&gt;""),IF(G31&gt;=$B$7-0.5,1,0),"")</x:f>
      </x:c>
    </x:row>
    <x:row r="32" spans="1:20">
      <x:c r="A32" s="14">
        <x:v>18</x:v>
      </x:c>
      <x:c r="B32" s="12"/>
      <x:c r="C32" s="12"/>
      <x:c r="D32" s="15"/>
      <x:c r="E32" s="16"/>
      <x:c r="F32" s="11"/>
      <x:c r="G32" s="12"/>
      <x:c r="H32" s="12"/>
      <x:c r="I32" s="15"/>
      <x:c r="J32" s="16"/>
      <x:c r="K32" s="11"/>
      <x:c r="L32" s="11"/>
      <x:c r="M32" s="17">
        <x:f>IF(AND(B32&lt;&gt;"",$E$6&lt;&gt;""),IF(B32&gt;=$E$6-0.5,1,0),"")</x:f>
      </x:c>
      <x:c r="N32" s="17">
        <x:f>IF(AND(G32&lt;&gt;"",$B$7&lt;&gt;""),IF(G32&gt;=$B$7-0.5,1,0),"")</x:f>
      </x:c>
    </x:row>
    <x:row r="33" spans="1:20">
      <x:c r="A33" s="14">
        <x:v>19</x:v>
      </x:c>
      <x:c r="B33" s="12"/>
      <x:c r="C33" s="12"/>
      <x:c r="D33" s="15"/>
      <x:c r="E33" s="16"/>
      <x:c r="F33" s="11"/>
      <x:c r="G33" s="12"/>
      <x:c r="H33" s="12"/>
      <x:c r="I33" s="15"/>
      <x:c r="J33" s="16"/>
      <x:c r="K33" s="11"/>
      <x:c r="L33" s="11"/>
      <x:c r="M33" s="17">
        <x:f>IF(AND(B33&lt;&gt;"",$E$6&lt;&gt;""),IF(B33&gt;=$E$6-0.5,1,0),"")</x:f>
      </x:c>
      <x:c r="N33" s="17">
        <x:f>IF(AND(G33&lt;&gt;"",$B$7&lt;&gt;""),IF(G33&gt;=$B$7-0.5,1,0),"")</x:f>
      </x:c>
    </x:row>
    <x:row r="34" spans="1:20">
      <x:c r="A34" s="14">
        <x:v>20</x:v>
      </x:c>
      <x:c r="B34" s="12"/>
      <x:c r="C34" s="12"/>
      <x:c r="D34" s="15"/>
      <x:c r="E34" s="16"/>
      <x:c r="F34" s="11"/>
      <x:c r="G34" s="12"/>
      <x:c r="H34" s="12"/>
      <x:c r="I34" s="15"/>
      <x:c r="J34" s="16"/>
      <x:c r="K34" s="11"/>
      <x:c r="L34" s="11"/>
      <x:c r="M34" s="17">
        <x:f>IF(AND(B34&lt;&gt;"",$E$6&lt;&gt;""),IF(B34&gt;=$E$6-0.5,1,0),"")</x:f>
      </x:c>
      <x:c r="N34" s="17">
        <x:f>IF(AND(G34&lt;&gt;"",$B$7&lt;&gt;""),IF(G34&gt;=$B$7-0.5,1,0),"")</x:f>
      </x:c>
    </x:row>
    <x:row r="35" spans="1:20">
      <x:c r="A35" s="14">
        <x:v>21</x:v>
      </x:c>
      <x:c r="B35" s="12"/>
      <x:c r="C35" s="12"/>
      <x:c r="D35" s="15"/>
      <x:c r="E35" s="16"/>
      <x:c r="F35" s="11"/>
      <x:c r="G35" s="12"/>
      <x:c r="H35" s="12"/>
      <x:c r="I35" s="15"/>
      <x:c r="J35" s="16"/>
      <x:c r="K35" s="11"/>
      <x:c r="L35" s="11"/>
      <x:c r="M35" s="17">
        <x:f>IF(AND(B35&lt;&gt;"",$E$6&lt;&gt;""),IF(B35&gt;=$E$6-0.5,1,0),"")</x:f>
      </x:c>
      <x:c r="N35" s="17">
        <x:f>IF(AND(G35&lt;&gt;"",$B$7&lt;&gt;""),IF(G35&gt;=$B$7-0.5,1,0),"")</x:f>
      </x:c>
    </x:row>
    <x:row r="36" spans="1:20">
      <x:c r="A36" s="14">
        <x:v>22</x:v>
      </x:c>
      <x:c r="B36" s="12"/>
      <x:c r="C36" s="12"/>
      <x:c r="D36" s="15"/>
      <x:c r="E36" s="16"/>
      <x:c r="F36" s="11"/>
      <x:c r="G36" s="12"/>
      <x:c r="H36" s="12"/>
      <x:c r="I36" s="15"/>
      <x:c r="J36" s="16"/>
      <x:c r="K36" s="11"/>
      <x:c r="L36" s="11"/>
      <x:c r="M36" s="17">
        <x:f>IF(AND(B36&lt;&gt;"",$E$6&lt;&gt;""),IF(B36&gt;=$E$6-0.5,1,0),"")</x:f>
      </x:c>
      <x:c r="N36" s="17">
        <x:f>IF(AND(G36&lt;&gt;"",$B$7&lt;&gt;""),IF(G36&gt;=$B$7-0.5,1,0),"")</x:f>
      </x:c>
    </x:row>
    <x:row r="37" spans="1:20">
      <x:c r="A37" s="14">
        <x:v>23</x:v>
      </x:c>
      <x:c r="B37" s="12"/>
      <x:c r="C37" s="12"/>
      <x:c r="D37" s="15"/>
      <x:c r="E37" s="16"/>
      <x:c r="F37" s="11"/>
      <x:c r="G37" s="12"/>
      <x:c r="H37" s="12"/>
      <x:c r="I37" s="15"/>
      <x:c r="J37" s="16"/>
      <x:c r="K37" s="11"/>
      <x:c r="L37" s="11"/>
      <x:c r="M37" s="17">
        <x:f>IF(AND(B37&lt;&gt;"",$E$6&lt;&gt;""),IF(B37&gt;=$E$6-0.5,1,0),"")</x:f>
      </x:c>
      <x:c r="N37" s="17">
        <x:f>IF(AND(G37&lt;&gt;"",$B$7&lt;&gt;""),IF(G37&gt;=$B$7-0.5,1,0),"")</x:f>
      </x:c>
    </x:row>
    <x:row r="38" spans="1:20">
      <x:c r="A38" s="14">
        <x:v>24</x:v>
      </x:c>
      <x:c r="B38" s="12"/>
      <x:c r="C38" s="12"/>
      <x:c r="D38" s="15"/>
      <x:c r="E38" s="16"/>
      <x:c r="F38" s="11"/>
      <x:c r="G38" s="12"/>
      <x:c r="H38" s="12"/>
      <x:c r="I38" s="15"/>
      <x:c r="J38" s="16"/>
      <x:c r="K38" s="11"/>
      <x:c r="L38" s="11"/>
      <x:c r="M38" s="17">
        <x:f>IF(AND(B38&lt;&gt;"",$E$6&lt;&gt;""),IF(B38&gt;=$E$6-0.5,1,0),"")</x:f>
      </x:c>
      <x:c r="N38" s="17">
        <x:f>IF(AND(G38&lt;&gt;"",$B$7&lt;&gt;""),IF(G38&gt;=$B$7-0.5,1,0),"")</x:f>
      </x:c>
    </x:row>
    <x:row r="39" spans="1:20">
      <x:c r="A39" s="14">
        <x:v>25</x:v>
      </x:c>
      <x:c r="B39" s="12"/>
      <x:c r="C39" s="12"/>
      <x:c r="D39" s="15"/>
      <x:c r="E39" s="16"/>
      <x:c r="F39" s="11"/>
      <x:c r="G39" s="12"/>
      <x:c r="H39" s="12"/>
      <x:c r="I39" s="15"/>
      <x:c r="J39" s="16"/>
      <x:c r="K39" s="11"/>
      <x:c r="L39" s="11"/>
      <x:c r="M39" s="17">
        <x:f>IF(AND(B39&lt;&gt;"",$E$6&lt;&gt;""),IF(B39&gt;=$E$6-0.5,1,0),"")</x:f>
      </x:c>
      <x:c r="N39" s="17">
        <x:f>IF(AND(G39&lt;&gt;"",$B$7&lt;&gt;""),IF(G39&gt;=$B$7-0.5,1,0),"")</x:f>
      </x:c>
    </x:row>
    <x:row r="40" spans="1:20">
      <x:c r="A40" s="14">
        <x:v>26</x:v>
      </x:c>
      <x:c r="B40" s="12"/>
      <x:c r="C40" s="12"/>
      <x:c r="D40" s="15"/>
      <x:c r="E40" s="16"/>
      <x:c r="F40" s="11"/>
      <x:c r="G40" s="12"/>
      <x:c r="H40" s="12"/>
      <x:c r="I40" s="15"/>
      <x:c r="J40" s="16"/>
      <x:c r="K40" s="11"/>
      <x:c r="L40" s="11"/>
      <x:c r="M40" s="17">
        <x:f>IF(AND(B40&lt;&gt;"",$E$6&lt;&gt;""),IF(B40&gt;=$E$6-0.5,1,0),"")</x:f>
      </x:c>
      <x:c r="N40" s="17">
        <x:f>IF(AND(G40&lt;&gt;"",$B$7&lt;&gt;""),IF(G40&gt;=$B$7-0.5,1,0),"")</x:f>
      </x:c>
    </x:row>
    <x:row r="41" spans="1:20">
      <x:c r="A41" s="14">
        <x:v>27</x:v>
      </x:c>
      <x:c r="B41" s="12"/>
      <x:c r="C41" s="12"/>
      <x:c r="D41" s="15"/>
      <x:c r="E41" s="16"/>
      <x:c r="F41" s="11"/>
      <x:c r="G41" s="12"/>
      <x:c r="H41" s="12"/>
      <x:c r="I41" s="15"/>
      <x:c r="J41" s="16"/>
      <x:c r="K41" s="11"/>
      <x:c r="L41" s="11"/>
      <x:c r="M41" s="17">
        <x:f>IF(AND(B41&lt;&gt;"",$E$6&lt;&gt;""),IF(B41&gt;=$E$6-0.5,1,0),"")</x:f>
      </x:c>
      <x:c r="N41" s="17">
        <x:f>IF(AND(G41&lt;&gt;"",$B$7&lt;&gt;""),IF(G41&gt;=$B$7-0.5,1,0),"")</x:f>
      </x:c>
    </x:row>
    <x:row r="42" spans="1:20">
      <x:c r="A42" s="14">
        <x:v>28</x:v>
      </x:c>
      <x:c r="B42" s="12"/>
      <x:c r="C42" s="12"/>
      <x:c r="D42" s="15"/>
      <x:c r="E42" s="16"/>
      <x:c r="F42" s="11"/>
      <x:c r="G42" s="12"/>
      <x:c r="H42" s="12"/>
      <x:c r="I42" s="15"/>
      <x:c r="J42" s="16"/>
      <x:c r="K42" s="11"/>
      <x:c r="L42" s="11"/>
      <x:c r="M42" s="17">
        <x:f>IF(AND(B42&lt;&gt;"",$E$6&lt;&gt;""),IF(B42&gt;=$E$6-0.5,1,0),"")</x:f>
      </x:c>
      <x:c r="N42" s="17">
        <x:f>IF(AND(G42&lt;&gt;"",$B$7&lt;&gt;""),IF(G42&gt;=$B$7-0.5,1,0),"")</x:f>
      </x:c>
    </x:row>
    <x:row r="43" spans="1:20">
      <x:c r="A43" s="14">
        <x:v>29</x:v>
      </x:c>
      <x:c r="B43" s="12"/>
      <x:c r="C43" s="12"/>
      <x:c r="D43" s="15"/>
      <x:c r="E43" s="16"/>
      <x:c r="F43" s="11"/>
      <x:c r="G43" s="12"/>
      <x:c r="H43" s="12"/>
      <x:c r="I43" s="15"/>
      <x:c r="J43" s="16"/>
      <x:c r="K43" s="11"/>
      <x:c r="L43" s="11"/>
      <x:c r="M43" s="17">
        <x:f>IF(AND(B43&lt;&gt;"",$E$6&lt;&gt;""),IF(B43&gt;=$E$6-0.5,1,0),"")</x:f>
      </x:c>
      <x:c r="N43" s="17">
        <x:f>IF(AND(G43&lt;&gt;"",$B$7&lt;&gt;""),IF(G43&gt;=$B$7-0.5,1,0),"")</x:f>
      </x:c>
    </x:row>
    <x:row r="44" spans="1:20">
      <x:c r="A44" s="14">
        <x:v>30</x:v>
      </x:c>
      <x:c r="B44" s="12"/>
      <x:c r="C44" s="12"/>
      <x:c r="D44" s="15"/>
      <x:c r="E44" s="16"/>
      <x:c r="F44" s="11"/>
      <x:c r="G44" s="12"/>
      <x:c r="H44" s="12"/>
      <x:c r="I44" s="15"/>
      <x:c r="J44" s="16"/>
      <x:c r="K44" s="11"/>
      <x:c r="L44" s="11"/>
      <x:c r="M44" s="17">
        <x:f>IF(AND(B44&lt;&gt;"",$E$6&lt;&gt;""),IF(B44&gt;=$E$6-0.5,1,0),"")</x:f>
      </x:c>
      <x:c r="N44" s="17">
        <x:f>IF(AND(G44&lt;&gt;"",$B$7&lt;&gt;""),IF(G44&gt;=$B$7-0.5,1,0),"")</x:f>
      </x:c>
    </x:row>
    <x:row r="45" spans="1:20">
      <x:c r="A45" s="14">
        <x:v>31</x:v>
      </x:c>
      <x:c r="B45" s="12"/>
      <x:c r="C45" s="12"/>
      <x:c r="D45" s="15"/>
      <x:c r="E45" s="16"/>
      <x:c r="F45" s="11"/>
      <x:c r="G45" s="12"/>
      <x:c r="H45" s="12"/>
      <x:c r="I45" s="15"/>
      <x:c r="J45" s="16"/>
      <x:c r="K45" s="11"/>
      <x:c r="L45" s="11"/>
      <x:c r="M45" s="17">
        <x:f>IF(AND(B45&lt;&gt;"",$E$6&lt;&gt;""),IF(B45&gt;=$E$6-0.5,1,0),"")</x:f>
      </x:c>
      <x:c r="N45" s="17">
        <x:f>IF(AND(G45&lt;&gt;"",$B$7&lt;&gt;""),IF(G45&gt;=$B$7-0.5,1,0),"")</x:f>
      </x:c>
    </x:row>
    <x:row r="46" spans="1:20">
      <x:c r="A46" s="14">
        <x:v>32</x:v>
      </x:c>
      <x:c r="B46" s="12"/>
      <x:c r="C46" s="12"/>
      <x:c r="D46" s="15"/>
      <x:c r="E46" s="16"/>
      <x:c r="F46" s="11"/>
      <x:c r="G46" s="12"/>
      <x:c r="H46" s="12"/>
      <x:c r="I46" s="15"/>
      <x:c r="J46" s="16"/>
      <x:c r="K46" s="11"/>
      <x:c r="L46" s="11"/>
      <x:c r="M46" s="17">
        <x:f>IF(AND(B46&lt;&gt;"",$E$6&lt;&gt;""),IF(B46&gt;=$E$6-0.5,1,0),"")</x:f>
      </x:c>
      <x:c r="N46" s="17">
        <x:f>IF(AND(G46&lt;&gt;"",$B$7&lt;&gt;""),IF(G46&gt;=$B$7-0.5,1,0),"")</x:f>
      </x:c>
    </x:row>
    <x:row r="47" spans="1:20">
      <x:c r="A47" s="14">
        <x:v>33</x:v>
      </x:c>
      <x:c r="B47" s="12"/>
      <x:c r="C47" s="12"/>
      <x:c r="D47" s="15"/>
      <x:c r="E47" s="16"/>
      <x:c r="F47" s="11"/>
      <x:c r="G47" s="12"/>
      <x:c r="H47" s="12"/>
      <x:c r="I47" s="15"/>
      <x:c r="J47" s="16"/>
      <x:c r="K47" s="11"/>
      <x:c r="L47" s="11"/>
      <x:c r="M47" s="17">
        <x:f>IF(AND(B47&lt;&gt;"",$E$6&lt;&gt;""),IF(B47&gt;=$E$6-0.5,1,0),"")</x:f>
      </x:c>
      <x:c r="N47" s="17">
        <x:f>IF(AND(G47&lt;&gt;"",$B$7&lt;&gt;""),IF(G47&gt;=$B$7-0.5,1,0),"")</x:f>
      </x:c>
    </x:row>
    <x:row r="48" spans="1:20">
      <x:c r="A48" s="14">
        <x:v>34</x:v>
      </x:c>
      <x:c r="B48" s="12"/>
      <x:c r="C48" s="12"/>
      <x:c r="D48" s="15"/>
      <x:c r="E48" s="16"/>
      <x:c r="F48" s="11"/>
      <x:c r="G48" s="12"/>
      <x:c r="H48" s="12"/>
      <x:c r="I48" s="15"/>
      <x:c r="J48" s="16"/>
      <x:c r="K48" s="11"/>
      <x:c r="L48" s="11"/>
      <x:c r="M48" s="17">
        <x:f>IF(AND(B48&lt;&gt;"",$E$6&lt;&gt;""),IF(B48&gt;=$E$6-0.5,1,0),"")</x:f>
      </x:c>
      <x:c r="N48" s="17">
        <x:f>IF(AND(G48&lt;&gt;"",$B$7&lt;&gt;""),IF(G48&gt;=$B$7-0.5,1,0),"")</x:f>
      </x:c>
    </x:row>
    <x:row r="49" spans="1:20">
      <x:c r="A49" s="14">
        <x:v>35</x:v>
      </x:c>
      <x:c r="B49" s="12"/>
      <x:c r="C49" s="12"/>
      <x:c r="D49" s="15"/>
      <x:c r="E49" s="16"/>
      <x:c r="F49" s="11"/>
      <x:c r="G49" s="12"/>
      <x:c r="H49" s="12"/>
      <x:c r="I49" s="15"/>
      <x:c r="J49" s="16"/>
      <x:c r="K49" s="11"/>
      <x:c r="L49" s="11"/>
      <x:c r="M49" s="17">
        <x:f>IF(AND(B49&lt;&gt;"",$E$6&lt;&gt;""),IF(B49&gt;=$E$6-0.5,1,0),"")</x:f>
      </x:c>
      <x:c r="N49" s="17">
        <x:f>IF(AND(G49&lt;&gt;"",$B$7&lt;&gt;""),IF(G49&gt;=$B$7-0.5,1,0),"")</x:f>
      </x:c>
    </x:row>
    <x:row r="50" spans="1:20">
      <x:c r="A50" s="14">
        <x:v>36</x:v>
      </x:c>
      <x:c r="B50" s="12"/>
      <x:c r="C50" s="12"/>
      <x:c r="D50" s="15"/>
      <x:c r="E50" s="16"/>
      <x:c r="F50" s="11"/>
      <x:c r="G50" s="12"/>
      <x:c r="H50" s="12"/>
      <x:c r="I50" s="15"/>
      <x:c r="J50" s="16"/>
      <x:c r="K50" s="11"/>
      <x:c r="L50" s="11"/>
      <x:c r="M50" s="17">
        <x:f>IF(AND(B50&lt;&gt;"",$E$6&lt;&gt;""),IF(B50&gt;=$E$6-0.5,1,0),"")</x:f>
      </x:c>
      <x:c r="N50" s="17">
        <x:f>IF(AND(G50&lt;&gt;"",$B$7&lt;&gt;""),IF(G50&gt;=$B$7-0.5,1,0),"")</x:f>
      </x:c>
    </x:row>
    <x:row r="51" spans="1:20">
      <x:c r="A51" s="14">
        <x:v>37</x:v>
      </x:c>
      <x:c r="B51" s="12"/>
      <x:c r="C51" s="12"/>
      <x:c r="D51" s="15"/>
      <x:c r="E51" s="16"/>
      <x:c r="F51" s="11"/>
      <x:c r="G51" s="12"/>
      <x:c r="H51" s="12"/>
      <x:c r="I51" s="15"/>
      <x:c r="J51" s="16"/>
      <x:c r="K51" s="11"/>
      <x:c r="L51" s="11"/>
      <x:c r="M51" s="17">
        <x:f>IF(AND(B51&lt;&gt;"",$E$6&lt;&gt;""),IF(B51&gt;=$E$6-0.5,1,0),"")</x:f>
      </x:c>
      <x:c r="N51" s="17">
        <x:f>IF(AND(G51&lt;&gt;"",$B$7&lt;&gt;""),IF(G51&gt;=$B$7-0.5,1,0),"")</x:f>
      </x:c>
    </x:row>
    <x:row r="52" spans="1:20">
      <x:c r="A52" s="14">
        <x:v>38</x:v>
      </x:c>
      <x:c r="B52" s="12"/>
      <x:c r="C52" s="12"/>
      <x:c r="D52" s="15"/>
      <x:c r="E52" s="16"/>
      <x:c r="F52" s="11"/>
      <x:c r="G52" s="12"/>
      <x:c r="H52" s="12"/>
      <x:c r="I52" s="15"/>
      <x:c r="J52" s="16"/>
      <x:c r="K52" s="11"/>
      <x:c r="L52" s="11"/>
      <x:c r="M52" s="17">
        <x:f>IF(AND(B52&lt;&gt;"",$E$6&lt;&gt;""),IF(B52&gt;=$E$6-0.5,1,0),"")</x:f>
      </x:c>
      <x:c r="N52" s="17">
        <x:f>IF(AND(G52&lt;&gt;"",$B$7&lt;&gt;""),IF(G52&gt;=$B$7-0.5,1,0),"")</x:f>
      </x:c>
    </x:row>
    <x:row r="53" spans="1:20">
      <x:c r="A53" s="14">
        <x:v>39</x:v>
      </x:c>
      <x:c r="B53" s="12"/>
      <x:c r="C53" s="12"/>
      <x:c r="D53" s="15"/>
      <x:c r="E53" s="16"/>
      <x:c r="F53" s="11"/>
      <x:c r="G53" s="12"/>
      <x:c r="H53" s="12"/>
      <x:c r="I53" s="15"/>
      <x:c r="J53" s="16"/>
      <x:c r="K53" s="11"/>
      <x:c r="L53" s="11"/>
      <x:c r="M53" s="17">
        <x:f>IF(AND(B53&lt;&gt;"",$E$6&lt;&gt;""),IF(B53&gt;=$E$6-0.5,1,0),"")</x:f>
      </x:c>
      <x:c r="N53" s="17">
        <x:f>IF(AND(G53&lt;&gt;"",$B$7&lt;&gt;""),IF(G53&gt;=$B$7-0.5,1,0),"")</x:f>
      </x:c>
    </x:row>
    <x:row r="54" spans="1:20">
      <x:c r="A54" s="14">
        <x:v>40</x:v>
      </x:c>
      <x:c r="B54" s="12"/>
      <x:c r="C54" s="12"/>
      <x:c r="D54" s="15"/>
      <x:c r="E54" s="16"/>
      <x:c r="F54" s="11"/>
      <x:c r="G54" s="12"/>
      <x:c r="H54" s="12"/>
      <x:c r="I54" s="15"/>
      <x:c r="J54" s="16"/>
      <x:c r="K54" s="11"/>
      <x:c r="L54" s="11"/>
      <x:c r="M54" s="17">
        <x:f>IF(AND(B54&lt;&gt;"",$E$6&lt;&gt;""),IF(B54&gt;=$E$6-0.5,1,0),"")</x:f>
      </x:c>
      <x:c r="N54" s="17">
        <x:f>IF(AND(G54&lt;&gt;"",$B$7&lt;&gt;""),IF(G54&gt;=$B$7-0.5,1,0),"")</x:f>
      </x:c>
    </x:row>
    <x:row r="55" spans="1:20">
      <x:c r="A55" s="14">
        <x:v>41</x:v>
      </x:c>
      <x:c r="B55" s="12"/>
      <x:c r="C55" s="12"/>
      <x:c r="D55" s="15"/>
      <x:c r="E55" s="16"/>
      <x:c r="F55" s="11"/>
      <x:c r="G55" s="12"/>
      <x:c r="H55" s="12"/>
      <x:c r="I55" s="15"/>
      <x:c r="J55" s="16"/>
      <x:c r="K55" s="11"/>
      <x:c r="L55" s="11"/>
      <x:c r="M55" s="17">
        <x:f>IF(AND(B55&lt;&gt;"",$E$6&lt;&gt;""),IF(B55&gt;=$E$6-0.5,1,0),"")</x:f>
      </x:c>
      <x:c r="N55" s="17">
        <x:f>IF(AND(G55&lt;&gt;"",$B$7&lt;&gt;""),IF(G55&gt;=$B$7-0.5,1,0),"")</x:f>
      </x:c>
    </x:row>
    <x:row r="56" spans="1:20">
      <x:c r="A56" s="14">
        <x:v>42</x:v>
      </x:c>
      <x:c r="B56" s="12"/>
      <x:c r="C56" s="12"/>
      <x:c r="D56" s="15"/>
      <x:c r="E56" s="16"/>
      <x:c r="F56" s="11"/>
      <x:c r="G56" s="12"/>
      <x:c r="H56" s="12"/>
      <x:c r="I56" s="15"/>
      <x:c r="J56" s="16"/>
      <x:c r="K56" s="11"/>
      <x:c r="L56" s="11"/>
      <x:c r="M56" s="17">
        <x:f>IF(AND(B56&lt;&gt;"",$E$6&lt;&gt;""),IF(B56&gt;=$E$6-0.5,1,0),"")</x:f>
      </x:c>
      <x:c r="N56" s="17">
        <x:f>IF(AND(G56&lt;&gt;"",$B$7&lt;&gt;""),IF(G56&gt;=$B$7-0.5,1,0),"")</x:f>
      </x:c>
    </x:row>
    <x:row r="57" spans="1:20">
      <x:c r="A57" s="14">
        <x:v>43</x:v>
      </x:c>
      <x:c r="B57" s="12"/>
      <x:c r="C57" s="12"/>
      <x:c r="D57" s="15"/>
      <x:c r="E57" s="16"/>
      <x:c r="F57" s="11"/>
      <x:c r="G57" s="12"/>
      <x:c r="H57" s="12"/>
      <x:c r="I57" s="15"/>
      <x:c r="J57" s="16"/>
      <x:c r="K57" s="11"/>
      <x:c r="L57" s="11"/>
      <x:c r="M57" s="17">
        <x:f>IF(AND(B57&lt;&gt;"",$E$6&lt;&gt;""),IF(B57&gt;=$E$6-0.5,1,0),"")</x:f>
      </x:c>
      <x:c r="N57" s="17">
        <x:f>IF(AND(G57&lt;&gt;"",$B$7&lt;&gt;""),IF(G57&gt;=$B$7-0.5,1,0),"")</x:f>
      </x:c>
    </x:row>
    <x:row r="58" spans="1:20">
      <x:c r="A58" s="14">
        <x:v>44</x:v>
      </x:c>
      <x:c r="B58" s="12"/>
      <x:c r="C58" s="12"/>
      <x:c r="D58" s="15"/>
      <x:c r="E58" s="16"/>
      <x:c r="F58" s="11"/>
      <x:c r="G58" s="12"/>
      <x:c r="H58" s="12"/>
      <x:c r="I58" s="15"/>
      <x:c r="J58" s="16"/>
      <x:c r="K58" s="11"/>
      <x:c r="L58" s="11"/>
      <x:c r="M58" s="17">
        <x:f>IF(AND(B58&lt;&gt;"",$E$6&lt;&gt;""),IF(B58&gt;=$E$6-0.5,1,0),"")</x:f>
      </x:c>
      <x:c r="N58" s="17">
        <x:f>IF(AND(G58&lt;&gt;"",$B$7&lt;&gt;""),IF(G58&gt;=$B$7-0.5,1,0),"")</x:f>
      </x:c>
    </x:row>
    <x:row r="59" spans="1:20">
      <x:c r="A59" s="14">
        <x:v>45</x:v>
      </x:c>
      <x:c r="B59" s="12"/>
      <x:c r="C59" s="12"/>
      <x:c r="D59" s="15"/>
      <x:c r="E59" s="16"/>
      <x:c r="F59" s="11"/>
      <x:c r="G59" s="12"/>
      <x:c r="H59" s="12"/>
      <x:c r="I59" s="15"/>
      <x:c r="J59" s="16"/>
      <x:c r="K59" s="11"/>
      <x:c r="L59" s="11"/>
      <x:c r="M59" s="17">
        <x:f>IF(AND(B59&lt;&gt;"",$E$6&lt;&gt;""),IF(B59&gt;=$E$6-0.5,1,0),"")</x:f>
      </x:c>
      <x:c r="N59" s="17">
        <x:f>IF(AND(G59&lt;&gt;"",$B$7&lt;&gt;""),IF(G59&gt;=$B$7-0.5,1,0),"")</x:f>
      </x:c>
    </x:row>
    <x:row r="60" spans="1:20">
      <x:c r="A60" s="14">
        <x:v>46</x:v>
      </x:c>
      <x:c r="B60" s="12"/>
      <x:c r="C60" s="12"/>
      <x:c r="D60" s="15"/>
      <x:c r="E60" s="16"/>
      <x:c r="F60" s="11"/>
      <x:c r="G60" s="12"/>
      <x:c r="H60" s="12"/>
      <x:c r="I60" s="15"/>
      <x:c r="J60" s="16"/>
      <x:c r="K60" s="11"/>
      <x:c r="L60" s="11"/>
      <x:c r="M60" s="17">
        <x:f>IF(AND(B60&lt;&gt;"",$E$6&lt;&gt;""),IF(B60&gt;=$E$6-0.5,1,0),"")</x:f>
      </x:c>
      <x:c r="N60" s="17">
        <x:f>IF(AND(G60&lt;&gt;"",$B$7&lt;&gt;""),IF(G60&gt;=$B$7-0.5,1,0),"")</x:f>
      </x:c>
    </x:row>
    <x:row r="61" spans="1:20">
      <x:c r="A61" s="14">
        <x:v>47</x:v>
      </x:c>
      <x:c r="B61" s="12"/>
      <x:c r="C61" s="12"/>
      <x:c r="D61" s="15"/>
      <x:c r="E61" s="16"/>
      <x:c r="F61" s="11"/>
      <x:c r="G61" s="12"/>
      <x:c r="H61" s="12"/>
      <x:c r="I61" s="15"/>
      <x:c r="J61" s="16"/>
      <x:c r="K61" s="11"/>
      <x:c r="L61" s="11"/>
      <x:c r="M61" s="17">
        <x:f>IF(AND(B61&lt;&gt;"",$E$6&lt;&gt;""),IF(B61&gt;=$E$6-0.5,1,0),"")</x:f>
      </x:c>
      <x:c r="N61" s="17">
        <x:f>IF(AND(G61&lt;&gt;"",$B$7&lt;&gt;""),IF(G61&gt;=$B$7-0.5,1,0),"")</x:f>
      </x:c>
    </x:row>
    <x:row r="62" spans="1:20">
      <x:c r="A62" s="14">
        <x:v>48</x:v>
      </x:c>
      <x:c r="B62" s="12"/>
      <x:c r="C62" s="12"/>
      <x:c r="D62" s="15"/>
      <x:c r="E62" s="16"/>
      <x:c r="F62" s="11"/>
      <x:c r="G62" s="12"/>
      <x:c r="H62" s="12"/>
      <x:c r="I62" s="15"/>
      <x:c r="J62" s="16"/>
      <x:c r="K62" s="11"/>
      <x:c r="L62" s="11"/>
      <x:c r="M62" s="17">
        <x:f>IF(AND(B62&lt;&gt;"",$E$6&lt;&gt;""),IF(B62&gt;=$E$6-0.5,1,0),"")</x:f>
      </x:c>
      <x:c r="N62" s="17">
        <x:f>IF(AND(G62&lt;&gt;"",$B$7&lt;&gt;""),IF(G62&gt;=$B$7-0.5,1,0),"")</x:f>
      </x:c>
    </x:row>
    <x:row r="63" spans="1:20">
      <x:c r="A63" s="14">
        <x:v>49</x:v>
      </x:c>
      <x:c r="B63" s="12"/>
      <x:c r="C63" s="12"/>
      <x:c r="D63" s="15"/>
      <x:c r="E63" s="16"/>
      <x:c r="F63" s="11"/>
      <x:c r="G63" s="12"/>
      <x:c r="H63" s="12"/>
      <x:c r="I63" s="15"/>
      <x:c r="J63" s="16"/>
      <x:c r="K63" s="11"/>
      <x:c r="L63" s="11"/>
      <x:c r="M63" s="17">
        <x:f>IF(AND(B63&lt;&gt;"",$E$6&lt;&gt;""),IF(B63&gt;=$E$6-0.5,1,0),"")</x:f>
      </x:c>
      <x:c r="N63" s="17">
        <x:f>IF(AND(G63&lt;&gt;"",$B$7&lt;&gt;""),IF(G63&gt;=$B$7-0.5,1,0),"")</x:f>
      </x:c>
    </x:row>
    <x:row r="64" spans="1:20">
      <x:c r="A64" s="14">
        <x:v>50</x:v>
      </x:c>
      <x:c r="B64" s="12"/>
      <x:c r="C64" s="12"/>
      <x:c r="D64" s="15"/>
      <x:c r="E64" s="16"/>
      <x:c r="F64" s="11"/>
      <x:c r="G64" s="12"/>
      <x:c r="H64" s="12"/>
      <x:c r="I64" s="15"/>
      <x:c r="J64" s="16"/>
      <x:c r="K64" s="11"/>
      <x:c r="L64" s="11"/>
      <x:c r="M64" s="17">
        <x:f>IF(AND(B64&lt;&gt;"",$E$6&lt;&gt;""),IF(B64&gt;=$E$6-0.5,1,0),"")</x:f>
      </x:c>
      <x:c r="N64" s="17">
        <x:f>IF(AND(G64&lt;&gt;"",$B$7&lt;&gt;""),IF(G64&gt;=$B$7-0.5,1,0),"")</x:f>
      </x:c>
    </x:row>
    <x:row r="65" spans="1:20">
      <x:c r="A65" s="14">
        <x:v>51</x:v>
      </x:c>
      <x:c r="B65" s="12"/>
      <x:c r="C65" s="12"/>
      <x:c r="D65" s="15"/>
      <x:c r="E65" s="16"/>
      <x:c r="F65" s="11"/>
      <x:c r="G65" s="12"/>
      <x:c r="H65" s="12"/>
      <x:c r="I65" s="15"/>
      <x:c r="J65" s="16"/>
      <x:c r="K65" s="11"/>
      <x:c r="L65" s="11"/>
      <x:c r="M65" s="17">
        <x:f>IF(AND(B65&lt;&gt;"",$E$6&lt;&gt;""),IF(B65&gt;=$E$6-0.5,1,0),"")</x:f>
      </x:c>
      <x:c r="N65" s="17">
        <x:f>IF(AND(G65&lt;&gt;"",$B$7&lt;&gt;""),IF(G65&gt;=$B$7-0.5,1,0),"")</x:f>
      </x:c>
    </x:row>
    <x:row r="66" spans="1:20">
      <x:c r="A66" s="14">
        <x:v>52</x:v>
      </x:c>
      <x:c r="B66" s="12"/>
      <x:c r="C66" s="12"/>
      <x:c r="D66" s="15"/>
      <x:c r="E66" s="16"/>
      <x:c r="F66" s="11"/>
      <x:c r="G66" s="12"/>
      <x:c r="H66" s="12"/>
      <x:c r="I66" s="15"/>
      <x:c r="J66" s="16"/>
      <x:c r="K66" s="11"/>
      <x:c r="L66" s="11"/>
      <x:c r="M66" s="17">
        <x:f>IF(AND(B66&lt;&gt;"",$E$6&lt;&gt;""),IF(B66&gt;=$E$6-0.5,1,0),"")</x:f>
      </x:c>
      <x:c r="N66" s="17">
        <x:f>IF(AND(G66&lt;&gt;"",$B$7&lt;&gt;""),IF(G66&gt;=$B$7-0.5,1,0),"")</x:f>
      </x:c>
    </x:row>
    <x:row r="67" spans="1:20">
      <x:c r="A67" s="14">
        <x:v>53</x:v>
      </x:c>
      <x:c r="B67" s="12"/>
      <x:c r="C67" s="12"/>
      <x:c r="D67" s="15"/>
      <x:c r="E67" s="16"/>
      <x:c r="F67" s="11"/>
      <x:c r="G67" s="12"/>
      <x:c r="H67" s="12"/>
      <x:c r="I67" s="15"/>
      <x:c r="J67" s="16"/>
      <x:c r="K67" s="11"/>
      <x:c r="L67" s="11"/>
      <x:c r="M67" s="17">
        <x:f>IF(AND(B67&lt;&gt;"",$E$6&lt;&gt;""),IF(B67&gt;=$E$6-0.5,1,0),"")</x:f>
      </x:c>
      <x:c r="N67" s="17">
        <x:f>IF(AND(G67&lt;&gt;"",$B$7&lt;&gt;""),IF(G67&gt;=$B$7-0.5,1,0),"")</x:f>
      </x:c>
    </x:row>
    <x:row r="68" spans="1:20">
      <x:c r="A68" s="14">
        <x:v>54</x:v>
      </x:c>
      <x:c r="B68" s="12"/>
      <x:c r="C68" s="12"/>
      <x:c r="D68" s="15"/>
      <x:c r="E68" s="16"/>
      <x:c r="F68" s="11"/>
      <x:c r="G68" s="12"/>
      <x:c r="H68" s="12"/>
      <x:c r="I68" s="15"/>
      <x:c r="J68" s="16"/>
      <x:c r="K68" s="11"/>
      <x:c r="L68" s="11"/>
      <x:c r="M68" s="17">
        <x:f>IF(AND(B68&lt;&gt;"",$E$6&lt;&gt;""),IF(B68&gt;=$E$6-0.5,1,0),"")</x:f>
      </x:c>
      <x:c r="N68" s="17">
        <x:f>IF(AND(G68&lt;&gt;"",$B$7&lt;&gt;""),IF(G68&gt;=$B$7-0.5,1,0),"")</x:f>
      </x:c>
    </x:row>
    <x:row r="69" spans="1:20">
      <x:c r="A69" s="14">
        <x:v>55</x:v>
      </x:c>
      <x:c r="B69" s="12"/>
      <x:c r="C69" s="12"/>
      <x:c r="D69" s="15"/>
      <x:c r="E69" s="16"/>
      <x:c r="F69" s="11"/>
      <x:c r="G69" s="12"/>
      <x:c r="H69" s="12"/>
      <x:c r="I69" s="15"/>
      <x:c r="J69" s="16"/>
      <x:c r="K69" s="11"/>
      <x:c r="L69" s="11"/>
      <x:c r="M69" s="17">
        <x:f>IF(AND(B69&lt;&gt;"",$E$6&lt;&gt;""),IF(B69&gt;=$E$6-0.5,1,0),"")</x:f>
      </x:c>
      <x:c r="N69" s="17">
        <x:f>IF(AND(G69&lt;&gt;"",$B$7&lt;&gt;""),IF(G69&gt;=$B$7-0.5,1,0),"")</x:f>
      </x:c>
    </x:row>
    <x:row r="70" spans="1:20">
      <x:c r="A70" s="14">
        <x:v>56</x:v>
      </x:c>
      <x:c r="B70" s="12"/>
      <x:c r="C70" s="12"/>
      <x:c r="D70" s="15"/>
      <x:c r="E70" s="16"/>
      <x:c r="F70" s="11"/>
      <x:c r="G70" s="12"/>
      <x:c r="H70" s="12"/>
      <x:c r="I70" s="15"/>
      <x:c r="J70" s="16"/>
      <x:c r="K70" s="11"/>
      <x:c r="L70" s="11"/>
      <x:c r="M70" s="17">
        <x:f>IF(AND(B70&lt;&gt;"",$E$6&lt;&gt;""),IF(B70&gt;=$E$6-0.5,1,0),"")</x:f>
      </x:c>
      <x:c r="N70" s="17">
        <x:f>IF(AND(G70&lt;&gt;"",$B$7&lt;&gt;""),IF(G70&gt;=$B$7-0.5,1,0),"")</x:f>
      </x:c>
    </x:row>
    <x:row r="71" spans="1:20">
      <x:c r="A71" s="14">
        <x:v>57</x:v>
      </x:c>
      <x:c r="B71" s="12"/>
      <x:c r="C71" s="12"/>
      <x:c r="D71" s="15"/>
      <x:c r="E71" s="16"/>
      <x:c r="F71" s="11"/>
      <x:c r="G71" s="12"/>
      <x:c r="H71" s="12"/>
      <x:c r="I71" s="15"/>
      <x:c r="J71" s="16"/>
      <x:c r="K71" s="11"/>
      <x:c r="L71" s="11"/>
      <x:c r="M71" s="17">
        <x:f>IF(AND(B71&lt;&gt;"",$E$6&lt;&gt;""),IF(B71&gt;=$E$6-0.5,1,0),"")</x:f>
      </x:c>
      <x:c r="N71" s="17">
        <x:f>IF(AND(G71&lt;&gt;"",$B$7&lt;&gt;""),IF(G71&gt;=$B$7-0.5,1,0),"")</x:f>
      </x:c>
    </x:row>
    <x:row r="72" spans="1:20">
      <x:c r="A72" s="14">
        <x:v>58</x:v>
      </x:c>
      <x:c r="B72" s="12"/>
      <x:c r="C72" s="12"/>
      <x:c r="D72" s="15"/>
      <x:c r="E72" s="16"/>
      <x:c r="F72" s="11"/>
      <x:c r="G72" s="12"/>
      <x:c r="H72" s="12"/>
      <x:c r="I72" s="15"/>
      <x:c r="J72" s="16"/>
      <x:c r="K72" s="11"/>
      <x:c r="L72" s="11"/>
      <x:c r="M72" s="17">
        <x:f>IF(AND(B72&lt;&gt;"",$E$6&lt;&gt;""),IF(B72&gt;=$E$6-0.5,1,0),"")</x:f>
      </x:c>
      <x:c r="N72" s="17">
        <x:f>IF(AND(G72&lt;&gt;"",$B$7&lt;&gt;""),IF(G72&gt;=$B$7-0.5,1,0),"")</x:f>
      </x:c>
    </x:row>
    <x:row r="73" spans="1:20">
      <x:c r="A73" s="14">
        <x:v>59</x:v>
      </x:c>
      <x:c r="B73" s="12"/>
      <x:c r="C73" s="12"/>
      <x:c r="D73" s="15"/>
      <x:c r="E73" s="16"/>
      <x:c r="F73" s="11"/>
      <x:c r="G73" s="12"/>
      <x:c r="H73" s="12"/>
      <x:c r="I73" s="15"/>
      <x:c r="J73" s="16"/>
      <x:c r="K73" s="11"/>
      <x:c r="L73" s="11"/>
      <x:c r="M73" s="17">
        <x:f>IF(AND(B73&lt;&gt;"",$E$6&lt;&gt;""),IF(B73&gt;=$E$6-0.5,1,0),"")</x:f>
      </x:c>
      <x:c r="N73" s="17">
        <x:f>IF(AND(G73&lt;&gt;"",$B$7&lt;&gt;""),IF(G73&gt;=$B$7-0.5,1,0),"")</x:f>
      </x:c>
    </x:row>
    <x:row r="74" spans="1:20">
      <x:c r="A74" s="14">
        <x:v>60</x:v>
      </x:c>
      <x:c r="B74" s="12"/>
      <x:c r="C74" s="12"/>
      <x:c r="D74" s="15"/>
      <x:c r="E74" s="16"/>
      <x:c r="F74" s="11"/>
      <x:c r="G74" s="12"/>
      <x:c r="H74" s="12"/>
      <x:c r="I74" s="15"/>
      <x:c r="J74" s="16"/>
      <x:c r="K74" s="11"/>
      <x:c r="L74" s="11"/>
      <x:c r="M74" s="17">
        <x:f>IF(AND(B74&lt;&gt;"",$E$6&lt;&gt;""),IF(B74&gt;=$E$6-0.5,1,0),"")</x:f>
      </x:c>
      <x:c r="N74" s="17">
        <x:f>IF(AND(G74&lt;&gt;"",$B$7&lt;&gt;""),IF(G74&gt;=$B$7-0.5,1,0),"")</x:f>
      </x:c>
    </x:row>
  </x:sheetData>
  <x:mergeCells count="15">
    <x:mergeCell ref="B4:C4"/>
    <x:mergeCell ref="E4:F4"/>
    <x:mergeCell ref="B5:C5"/>
    <x:mergeCell ref="E5:F5"/>
    <x:mergeCell ref="B6:C6"/>
    <x:mergeCell ref="E6:F6"/>
    <x:mergeCell ref="B7:C7"/>
    <x:mergeCell ref="E7:F7"/>
    <x:mergeCell ref="B8:C8"/>
    <x:mergeCell ref="E8:F8"/>
    <x:mergeCell ref="B9:C9"/>
    <x:mergeCell ref="E9:F9"/>
    <x:mergeCell ref="B10:C10"/>
    <x:mergeCell ref="E10:F10"/>
    <x:mergeCell ref="B11:C11"/>
  </x:mergeCells>
  <x:dataValidations count="1">
    <x:dataValidation type="list" errorStyle="stop" operator="between" allowBlank="1" showDropDown="0" showInputMessage="1" showErrorMessage="1" errorTitle="" error="" promptTitle="" prompt="" sqref="E7:E7">
      <x:formula1>"尽快,按速率,按时长"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24"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74"/>
  <x:sheetViews>
    <x:sheetView workbookViewId="0">
      <x:pane xSplit="1" ySplit="13" topLeftCell="B14" activePane="bottomRight" state="frozenSplit"/>
    </x:sheetView>
  </x:sheetViews>
  <x:sheetFormatPr defaultRowHeight="15"/>
  <x:cols>
    <x:col min="1" max="1" width="10.710625" style="0" customWidth="1"/>
    <x:col min="2" max="2" width="11.710625" style="0" customWidth="1"/>
    <x:col min="3" max="4" width="10.710625" style="0" customWidth="1"/>
    <x:col min="5" max="5" width="11.710625" style="0" customWidth="1"/>
    <x:col min="6" max="6" width="9.710625" style="0" customWidth="1"/>
    <x:col min="7" max="7" width="11.710625" style="0" customWidth="1"/>
    <x:col min="8" max="9" width="10.710625" style="0" customWidth="1"/>
    <x:col min="10" max="10" width="11.710625" style="0" customWidth="1"/>
    <x:col min="11" max="11" width="9.710625" style="0" customWidth="1"/>
    <x:col min="12" max="12" width="22.710625" style="0" customWidth="1"/>
    <x:col min="13" max="14" width="10.710625" style="0" customWidth="1"/>
    <x:col min="15" max="15" width="9.140625" style="0" customWidth="1"/>
    <x:col min="16" max="16" width="36.710625" style="0" customWidth="1"/>
    <x:col min="17" max="17" width="14.710625" style="0" customWidth="1"/>
    <x:col min="18" max="20" width="9.140625" style="0" customWidth="1"/>
  </x:cols>
  <x:sheetData>
    <x:row r="1" spans="1:20">
      <x:c r="A1" s="1" t="s">
        <x:v>87</x:v>
      </x:c>
    </x:row>
    <x:row r="2" spans="1:20">
      <x:c r="A2" s="2" t="s">
        <x:v>70</x:v>
      </x:c>
    </x:row>
    <x:row r="4" spans="1:20">
      <x:c r="A4" s="8" t="s">
        <x:v>25</x:v>
      </x:c>
      <x:c r="B4" s="9"/>
      <x:c r="C4" s="10"/>
      <x:c r="D4" s="8" t="s">
        <x:v>26</x:v>
      </x:c>
      <x:c r="E4" s="11"/>
      <x:c r="F4" s="10"/>
    </x:row>
    <x:row r="5" spans="1:20">
      <x:c r="A5" s="8" t="s">
        <x:v>27</x:v>
      </x:c>
      <x:c r="B5" s="12"/>
      <x:c r="C5" s="10"/>
      <x:c r="D5" s="8" t="s">
        <x:v>28</x:v>
      </x:c>
      <x:c r="E5" s="12"/>
      <x:c r="F5" s="10"/>
    </x:row>
    <x:row r="6" spans="1:20">
      <x:c r="A6" s="8" t="s">
        <x:v>71</x:v>
      </x:c>
      <x:c r="B6" s="12"/>
      <x:c r="C6" s="10"/>
      <x:c r="D6" s="8" t="s">
        <x:v>29</x:v>
      </x:c>
      <x:c r="E6" s="12"/>
      <x:c r="F6" s="10"/>
    </x:row>
    <x:row r="7" spans="1:20">
      <x:c r="A7" s="8" t="s">
        <x:v>30</x:v>
      </x:c>
      <x:c r="B7" s="12"/>
      <x:c r="C7" s="10"/>
      <x:c r="D7" s="8" t="s">
        <x:v>31</x:v>
      </x:c>
      <x:c r="E7" s="11" t="s">
        <x:v>32</x:v>
      </x:c>
      <x:c r="F7" s="10"/>
    </x:row>
    <x:row r="8" spans="1:20">
      <x:c r="A8" s="8" t="s">
        <x:v>72</x:v>
      </x:c>
      <x:c r="B8" s="12"/>
      <x:c r="C8" s="10"/>
      <x:c r="D8" s="8" t="s">
        <x:v>73</x:v>
      </x:c>
      <x:c r="E8" s="12"/>
      <x:c r="F8" s="10"/>
    </x:row>
    <x:row r="9" spans="1:20">
      <x:c r="A9" s="8" t="s">
        <x:v>74</x:v>
      </x:c>
      <x:c r="B9" s="12"/>
      <x:c r="C9" s="10"/>
      <x:c r="D9" s="8" t="s">
        <x:v>75</x:v>
      </x:c>
      <x:c r="E9" s="12"/>
      <x:c r="F9" s="10"/>
    </x:row>
    <x:row r="10" spans="1:20">
      <x:c r="A10" s="8" t="s">
        <x:v>35</x:v>
      </x:c>
      <x:c r="B10" s="11"/>
      <x:c r="C10" s="10"/>
      <x:c r="D10" s="8" t="s">
        <x:v>36</x:v>
      </x:c>
      <x:c r="E10" s="11"/>
      <x:c r="F10" s="10"/>
    </x:row>
    <x:row r="11" spans="1:20">
      <x:c r="A11" s="8" t="s">
        <x:v>37</x:v>
      </x:c>
      <x:c r="B11" s="11"/>
      <x:c r="C11" s="10"/>
    </x:row>
    <x:row r="13" spans="1:20">
      <x:c r="A13" s="13" t="s">
        <x:v>38</x:v>
      </x:c>
      <x:c r="B13" s="13" t="s">
        <x:v>39</x:v>
      </x:c>
      <x:c r="C13" s="13" t="s">
        <x:v>40</x:v>
      </x:c>
      <x:c r="D13" s="13" t="s">
        <x:v>41</x:v>
      </x:c>
      <x:c r="E13" s="13" t="s">
        <x:v>42</x:v>
      </x:c>
      <x:c r="F13" s="13" t="s">
        <x:v>43</x:v>
      </x:c>
      <x:c r="G13" s="13" t="s">
        <x:v>44</x:v>
      </x:c>
      <x:c r="H13" s="13" t="s">
        <x:v>45</x:v>
      </x:c>
      <x:c r="I13" s="13" t="s">
        <x:v>46</x:v>
      </x:c>
      <x:c r="J13" s="13" t="s">
        <x:v>47</x:v>
      </x:c>
      <x:c r="K13" s="13" t="s">
        <x:v>48</x:v>
      </x:c>
      <x:c r="L13" s="13" t="s">
        <x:v>37</x:v>
      </x:c>
      <x:c r="M13" s="13" t="s">
        <x:v>49</x:v>
      </x:c>
      <x:c r="N13" s="13" t="s">
        <x:v>50</x:v>
      </x:c>
      <x:c r="P13" s="13" t="s">
        <x:v>51</x:v>
      </x:c>
      <x:c r="Q13" s="13" t="s">
        <x:v>52</x:v>
      </x:c>
    </x:row>
    <x:row r="14" spans="1:20">
      <x:c r="A14" s="14">
        <x:v>0</x:v>
      </x:c>
      <x:c r="B14" s="12"/>
      <x:c r="C14" s="12"/>
      <x:c r="D14" s="15"/>
      <x:c r="E14" s="16"/>
      <x:c r="F14" s="11"/>
      <x:c r="G14" s="12"/>
      <x:c r="H14" s="12"/>
      <x:c r="I14" s="15"/>
      <x:c r="J14" s="16"/>
      <x:c r="K14" s="11"/>
      <x:c r="L14" s="11"/>
      <x:c r="M14" s="17">
        <x:f>IF(AND(B14&lt;&gt;"",$E$6&lt;&gt;""),IF(B14&gt;=$E$6-0.5,1,0),"")</x:f>
      </x:c>
      <x:c r="N14" s="17">
        <x:f>IF(AND(G14&lt;&gt;"",$B$7&lt;&gt;""),IF(G14&gt;=$B$7-0.5,1,0),"")</x:f>
      </x:c>
      <x:c r="P14" s="8" t="s">
        <x:v>76</x:v>
      </x:c>
      <x:c r="Q14" s="18">
        <x:f>IF(COUNT(B14:B74)=0,"",MAX(B14:B74))</x:f>
      </x:c>
    </x:row>
    <x:row r="15" spans="1:20">
      <x:c r="A15" s="14">
        <x:v>1</x:v>
      </x:c>
      <x:c r="B15" s="12"/>
      <x:c r="C15" s="12"/>
      <x:c r="D15" s="15"/>
      <x:c r="E15" s="16"/>
      <x:c r="F15" s="11"/>
      <x:c r="G15" s="12"/>
      <x:c r="H15" s="12"/>
      <x:c r="I15" s="15"/>
      <x:c r="J15" s="16"/>
      <x:c r="K15" s="11"/>
      <x:c r="L15" s="11"/>
      <x:c r="M15" s="17">
        <x:f>IF(AND(B15&lt;&gt;"",$E$6&lt;&gt;""),IF(B15&gt;=$E$6-0.5,1,0),"")</x:f>
      </x:c>
      <x:c r="N15" s="17">
        <x:f>IF(AND(G15&lt;&gt;"",$B$7&lt;&gt;""),IF(G15&gt;=$B$7-0.5,1,0),"")</x:f>
      </x:c>
      <x:c r="P15" s="8" t="s">
        <x:v>77</x:v>
      </x:c>
      <x:c r="Q15" s="17">
        <x:f>IFERROR(INDEX($A$14:$A$74,MATCH(1,M14:M74,0)),"未到")</x:f>
      </x:c>
    </x:row>
    <x:row r="16" spans="1:20">
      <x:c r="A16" s="14">
        <x:v>2</x:v>
      </x:c>
      <x:c r="B16" s="12"/>
      <x:c r="C16" s="12"/>
      <x:c r="D16" s="15"/>
      <x:c r="E16" s="16"/>
      <x:c r="F16" s="11"/>
      <x:c r="G16" s="12"/>
      <x:c r="H16" s="12"/>
      <x:c r="I16" s="15"/>
      <x:c r="J16" s="16"/>
      <x:c r="K16" s="11"/>
      <x:c r="L16" s="11"/>
      <x:c r="M16" s="17">
        <x:f>IF(AND(B16&lt;&gt;"",$E$6&lt;&gt;""),IF(B16&gt;=$E$6-0.5,1,0),"")</x:f>
      </x:c>
      <x:c r="N16" s="17">
        <x:f>IF(AND(G16&lt;&gt;"",$B$7&lt;&gt;""),IF(G16&gt;=$B$7-0.5,1,0),"")</x:f>
      </x:c>
      <x:c r="P16" s="8" t="s">
        <x:v>78</x:v>
      </x:c>
      <x:c r="Q16" s="18">
        <x:f>IF(OR($Q$14="",$E$6=""),"",MAX(0,$Q$14-$E$6))</x:f>
      </x:c>
    </x:row>
    <x:row r="17" spans="1:20">
      <x:c r="A17" s="14">
        <x:v>3</x:v>
      </x:c>
      <x:c r="B17" s="12"/>
      <x:c r="C17" s="12"/>
      <x:c r="D17" s="15"/>
      <x:c r="E17" s="16"/>
      <x:c r="F17" s="11"/>
      <x:c r="G17" s="12"/>
      <x:c r="H17" s="12"/>
      <x:c r="I17" s="15"/>
      <x:c r="J17" s="16"/>
      <x:c r="K17" s="11"/>
      <x:c r="L17" s="11"/>
      <x:c r="M17" s="17">
        <x:f>IF(AND(B17&lt;&gt;"",$E$6&lt;&gt;""),IF(B17&gt;=$E$6-0.5,1,0),"")</x:f>
      </x:c>
      <x:c r="N17" s="17">
        <x:f>IF(AND(G17&lt;&gt;"",$B$7&lt;&gt;""),IF(G17&gt;=$B$7-0.5,1,0),"")</x:f>
      </x:c>
      <x:c r="P17" s="8" t="s">
        <x:v>79</x:v>
      </x:c>
      <x:c r="Q17" s="19">
        <x:f>IF(OR(B14="",B24="",A24=A14),"",(B24-B14)/(A24-A14))</x:f>
      </x:c>
    </x:row>
    <x:row r="18" spans="1:20">
      <x:c r="A18" s="14">
        <x:v>4</x:v>
      </x:c>
      <x:c r="B18" s="12"/>
      <x:c r="C18" s="12"/>
      <x:c r="D18" s="15"/>
      <x:c r="E18" s="16"/>
      <x:c r="F18" s="11"/>
      <x:c r="G18" s="12"/>
      <x:c r="H18" s="12"/>
      <x:c r="I18" s="15"/>
      <x:c r="J18" s="16"/>
      <x:c r="K18" s="11"/>
      <x:c r="L18" s="11"/>
      <x:c r="M18" s="17">
        <x:f>IF(AND(B18&lt;&gt;"",$E$6&lt;&gt;""),IF(B18&gt;=$E$6-0.5,1,0),"")</x:f>
      </x:c>
      <x:c r="N18" s="17">
        <x:f>IF(AND(G18&lt;&gt;"",$B$7&lt;&gt;""),IF(G18&gt;=$B$7-0.5,1,0),"")</x:f>
      </x:c>
      <x:c r="P18" s="8" t="s">
        <x:v>57</x:v>
      </x:c>
      <x:c r="Q18" s="18">
        <x:f>IF(COUNT(C14:C74)=0,"",AVERAGE(C14:C74))</x:f>
      </x:c>
    </x:row>
    <x:row r="19" spans="1:20">
      <x:c r="A19" s="14">
        <x:v>5</x:v>
      </x:c>
      <x:c r="B19" s="12"/>
      <x:c r="C19" s="12"/>
      <x:c r="D19" s="15"/>
      <x:c r="E19" s="16"/>
      <x:c r="F19" s="11"/>
      <x:c r="G19" s="12"/>
      <x:c r="H19" s="12"/>
      <x:c r="I19" s="15"/>
      <x:c r="J19" s="16"/>
      <x:c r="K19" s="11"/>
      <x:c r="L19" s="11"/>
      <x:c r="M19" s="17">
        <x:f>IF(AND(B19&lt;&gt;"",$E$6&lt;&gt;""),IF(B19&gt;=$E$6-0.5,1,0),"")</x:f>
      </x:c>
      <x:c r="N19" s="17">
        <x:f>IF(AND(G19&lt;&gt;"",$B$7&lt;&gt;""),IF(G19&gt;=$B$7-0.5,1,0),"")</x:f>
      </x:c>
      <x:c r="P19" s="8" t="s">
        <x:v>58</x:v>
      </x:c>
      <x:c r="Q19" s="20">
        <x:f>IF(COUNT(D14:D74)=0,"",MAX(D14:D74))</x:f>
      </x:c>
    </x:row>
    <x:row r="20" spans="1:20">
      <x:c r="A20" s="14">
        <x:v>6</x:v>
      </x:c>
      <x:c r="B20" s="12"/>
      <x:c r="C20" s="12"/>
      <x:c r="D20" s="15"/>
      <x:c r="E20" s="16"/>
      <x:c r="F20" s="11"/>
      <x:c r="G20" s="12"/>
      <x:c r="H20" s="12"/>
      <x:c r="I20" s="15"/>
      <x:c r="J20" s="16"/>
      <x:c r="K20" s="11"/>
      <x:c r="L20" s="11"/>
      <x:c r="M20" s="17">
        <x:f>IF(AND(B20&lt;&gt;"",$E$6&lt;&gt;""),IF(B20&gt;=$E$6-0.5,1,0),"")</x:f>
      </x:c>
      <x:c r="N20" s="17">
        <x:f>IF(AND(G20&lt;&gt;"",$B$7&lt;&gt;""),IF(G20&gt;=$B$7-0.5,1,0),"")</x:f>
      </x:c>
      <x:c r="P20" s="8" t="s">
        <x:v>80</x:v>
      </x:c>
      <x:c r="Q20" s="19">
        <x:f>IF(COUNT(E14:E74)=0,"",MAX(E14:E74))</x:f>
      </x:c>
    </x:row>
    <x:row r="21" spans="1:20">
      <x:c r="A21" s="14">
        <x:v>7</x:v>
      </x:c>
      <x:c r="B21" s="12"/>
      <x:c r="C21" s="12"/>
      <x:c r="D21" s="15"/>
      <x:c r="E21" s="16"/>
      <x:c r="F21" s="11"/>
      <x:c r="G21" s="12"/>
      <x:c r="H21" s="12"/>
      <x:c r="I21" s="15"/>
      <x:c r="J21" s="16"/>
      <x:c r="K21" s="11"/>
      <x:c r="L21" s="11"/>
      <x:c r="M21" s="17">
        <x:f>IF(AND(B21&lt;&gt;"",$E$6&lt;&gt;""),IF(B21&gt;=$E$6-0.5,1,0),"")</x:f>
      </x:c>
      <x:c r="N21" s="17">
        <x:f>IF(AND(G21&lt;&gt;"",$B$7&lt;&gt;""),IF(G21&gt;=$B$7-0.5,1,0),"")</x:f>
      </x:c>
    </x:row>
    <x:row r="22" spans="1:20">
      <x:c r="A22" s="14">
        <x:v>8</x:v>
      </x:c>
      <x:c r="B22" s="12"/>
      <x:c r="C22" s="12"/>
      <x:c r="D22" s="15"/>
      <x:c r="E22" s="16"/>
      <x:c r="F22" s="11"/>
      <x:c r="G22" s="12"/>
      <x:c r="H22" s="12"/>
      <x:c r="I22" s="15"/>
      <x:c r="J22" s="16"/>
      <x:c r="K22" s="11"/>
      <x:c r="L22" s="11"/>
      <x:c r="M22" s="17">
        <x:f>IF(AND(B22&lt;&gt;"",$E$6&lt;&gt;""),IF(B22&gt;=$E$6-0.5,1,0),"")</x:f>
      </x:c>
      <x:c r="N22" s="17">
        <x:f>IF(AND(G22&lt;&gt;"",$B$7&lt;&gt;""),IF(G22&gt;=$B$7-0.5,1,0),"")</x:f>
      </x:c>
      <x:c r="P22" s="8" t="s">
        <x:v>81</x:v>
      </x:c>
      <x:c r="Q22" s="18">
        <x:f>IF(COUNT(G14:G74)=0,"",MAX(G14:G74))</x:f>
      </x:c>
    </x:row>
    <x:row r="23" spans="1:20">
      <x:c r="A23" s="14">
        <x:v>9</x:v>
      </x:c>
      <x:c r="B23" s="12"/>
      <x:c r="C23" s="12"/>
      <x:c r="D23" s="15"/>
      <x:c r="E23" s="16"/>
      <x:c r="F23" s="11"/>
      <x:c r="G23" s="12"/>
      <x:c r="H23" s="12"/>
      <x:c r="I23" s="15"/>
      <x:c r="J23" s="16"/>
      <x:c r="K23" s="11"/>
      <x:c r="L23" s="11"/>
      <x:c r="M23" s="17">
        <x:f>IF(AND(B23&lt;&gt;"",$E$6&lt;&gt;""),IF(B23&gt;=$E$6-0.5,1,0),"")</x:f>
      </x:c>
      <x:c r="N23" s="17">
        <x:f>IF(AND(G23&lt;&gt;"",$B$7&lt;&gt;""),IF(G23&gt;=$B$7-0.5,1,0),"")</x:f>
      </x:c>
      <x:c r="P23" s="8" t="s">
        <x:v>82</x:v>
      </x:c>
      <x:c r="Q23" s="17">
        <x:f>IFERROR(INDEX($A$14:$A$74,MATCH(1,N14:N74,0)),"未到")</x:f>
      </x:c>
    </x:row>
    <x:row r="24" spans="1:20">
      <x:c r="A24" s="14">
        <x:v>10</x:v>
      </x:c>
      <x:c r="B24" s="12"/>
      <x:c r="C24" s="12"/>
      <x:c r="D24" s="15"/>
      <x:c r="E24" s="16"/>
      <x:c r="F24" s="11"/>
      <x:c r="G24" s="12"/>
      <x:c r="H24" s="12"/>
      <x:c r="I24" s="15"/>
      <x:c r="J24" s="16"/>
      <x:c r="K24" s="11"/>
      <x:c r="L24" s="11"/>
      <x:c r="M24" s="17">
        <x:f>IF(AND(B24&lt;&gt;"",$E$6&lt;&gt;""),IF(B24&gt;=$E$6-0.5,1,0),"")</x:f>
      </x:c>
      <x:c r="N24" s="17">
        <x:f>IF(AND(G24&lt;&gt;"",$B$7&lt;&gt;""),IF(G24&gt;=$B$7-0.5,1,0),"")</x:f>
      </x:c>
      <x:c r="P24" s="8" t="s">
        <x:v>83</x:v>
      </x:c>
      <x:c r="Q24" s="18">
        <x:f>IF(OR($Q$22="",$B$7=""),"",MAX(0,$Q$22-$B$7))</x:f>
      </x:c>
    </x:row>
    <x:row r="25" spans="1:20">
      <x:c r="A25" s="14">
        <x:v>11</x:v>
      </x:c>
      <x:c r="B25" s="12"/>
      <x:c r="C25" s="12"/>
      <x:c r="D25" s="15"/>
      <x:c r="E25" s="16"/>
      <x:c r="F25" s="11"/>
      <x:c r="G25" s="12"/>
      <x:c r="H25" s="12"/>
      <x:c r="I25" s="15"/>
      <x:c r="J25" s="16"/>
      <x:c r="K25" s="11"/>
      <x:c r="L25" s="11"/>
      <x:c r="M25" s="17">
        <x:f>IF(AND(B25&lt;&gt;"",$E$6&lt;&gt;""),IF(B25&gt;=$E$6-0.5,1,0),"")</x:f>
      </x:c>
      <x:c r="N25" s="17">
        <x:f>IF(AND(G25&lt;&gt;"",$B$7&lt;&gt;""),IF(G25&gt;=$B$7-0.5,1,0),"")</x:f>
      </x:c>
      <x:c r="P25" s="8" t="s">
        <x:v>84</x:v>
      </x:c>
      <x:c r="Q25" s="19">
        <x:f>IF(OR(G14="",G24="",A24=A14),"",(G24-G14)/(A24-A14))</x:f>
      </x:c>
    </x:row>
    <x:row r="26" spans="1:20">
      <x:c r="A26" s="14">
        <x:v>12</x:v>
      </x:c>
      <x:c r="B26" s="12"/>
      <x:c r="C26" s="12"/>
      <x:c r="D26" s="15"/>
      <x:c r="E26" s="16"/>
      <x:c r="F26" s="11"/>
      <x:c r="G26" s="12"/>
      <x:c r="H26" s="12"/>
      <x:c r="I26" s="15"/>
      <x:c r="J26" s="16"/>
      <x:c r="K26" s="11"/>
      <x:c r="L26" s="11"/>
      <x:c r="M26" s="17">
        <x:f>IF(AND(B26&lt;&gt;"",$E$6&lt;&gt;""),IF(B26&gt;=$E$6-0.5,1,0),"")</x:f>
      </x:c>
      <x:c r="N26" s="17">
        <x:f>IF(AND(G26&lt;&gt;"",$B$7&lt;&gt;""),IF(G26&gt;=$B$7-0.5,1,0),"")</x:f>
      </x:c>
      <x:c r="P26" s="8" t="s">
        <x:v>64</x:v>
      </x:c>
      <x:c r="Q26" s="18">
        <x:f>IF(COUNT(H14:H74)=0,"",AVERAGE(H14:H74))</x:f>
      </x:c>
    </x:row>
    <x:row r="27" spans="1:20">
      <x:c r="A27" s="14">
        <x:v>13</x:v>
      </x:c>
      <x:c r="B27" s="12"/>
      <x:c r="C27" s="12"/>
      <x:c r="D27" s="15"/>
      <x:c r="E27" s="16"/>
      <x:c r="F27" s="11"/>
      <x:c r="G27" s="12"/>
      <x:c r="H27" s="12"/>
      <x:c r="I27" s="15"/>
      <x:c r="J27" s="16"/>
      <x:c r="K27" s="11"/>
      <x:c r="L27" s="11"/>
      <x:c r="M27" s="17">
        <x:f>IF(AND(B27&lt;&gt;"",$E$6&lt;&gt;""),IF(B27&gt;=$E$6-0.5,1,0),"")</x:f>
      </x:c>
      <x:c r="N27" s="17">
        <x:f>IF(AND(G27&lt;&gt;"",$B$7&lt;&gt;""),IF(G27&gt;=$B$7-0.5,1,0),"")</x:f>
      </x:c>
      <x:c r="P27" s="8" t="s">
        <x:v>65</x:v>
      </x:c>
      <x:c r="Q27" s="20">
        <x:f>IF(COUNT(I14:I74)=0,"",MAX(I14:I74))</x:f>
      </x:c>
    </x:row>
    <x:row r="28" spans="1:20">
      <x:c r="A28" s="14">
        <x:v>14</x:v>
      </x:c>
      <x:c r="B28" s="12"/>
      <x:c r="C28" s="12"/>
      <x:c r="D28" s="15"/>
      <x:c r="E28" s="16"/>
      <x:c r="F28" s="11"/>
      <x:c r="G28" s="12"/>
      <x:c r="H28" s="12"/>
      <x:c r="I28" s="15"/>
      <x:c r="J28" s="16"/>
      <x:c r="K28" s="11"/>
      <x:c r="L28" s="11"/>
      <x:c r="M28" s="17">
        <x:f>IF(AND(B28&lt;&gt;"",$E$6&lt;&gt;""),IF(B28&gt;=$E$6-0.5,1,0),"")</x:f>
      </x:c>
      <x:c r="N28" s="17">
        <x:f>IF(AND(G28&lt;&gt;"",$B$7&lt;&gt;""),IF(G28&gt;=$B$7-0.5,1,0),"")</x:f>
      </x:c>
      <x:c r="P28" s="8" t="s">
        <x:v>85</x:v>
      </x:c>
      <x:c r="Q28" s="19">
        <x:f>IF(COUNT(J14:J74)=0,"",MAX(J14:J74))</x:f>
      </x:c>
    </x:row>
    <x:row r="29" spans="1:20">
      <x:c r="A29" s="14">
        <x:v>15</x:v>
      </x:c>
      <x:c r="B29" s="12"/>
      <x:c r="C29" s="12"/>
      <x:c r="D29" s="15"/>
      <x:c r="E29" s="16"/>
      <x:c r="F29" s="11"/>
      <x:c r="G29" s="12"/>
      <x:c r="H29" s="12"/>
      <x:c r="I29" s="15"/>
      <x:c r="J29" s="16"/>
      <x:c r="K29" s="11"/>
      <x:c r="L29" s="11"/>
      <x:c r="M29" s="17">
        <x:f>IF(AND(B29&lt;&gt;"",$E$6&lt;&gt;""),IF(B29&gt;=$E$6-0.5,1,0),"")</x:f>
      </x:c>
      <x:c r="N29" s="17">
        <x:f>IF(AND(G29&lt;&gt;"",$B$7&lt;&gt;""),IF(G29&gt;=$B$7-0.5,1,0),"")</x:f>
      </x:c>
    </x:row>
    <x:row r="30" spans="1:20">
      <x:c r="A30" s="14">
        <x:v>16</x:v>
      </x:c>
      <x:c r="B30" s="12"/>
      <x:c r="C30" s="12"/>
      <x:c r="D30" s="15"/>
      <x:c r="E30" s="16"/>
      <x:c r="F30" s="11"/>
      <x:c r="G30" s="12"/>
      <x:c r="H30" s="12"/>
      <x:c r="I30" s="15"/>
      <x:c r="J30" s="16"/>
      <x:c r="K30" s="11"/>
      <x:c r="L30" s="11"/>
      <x:c r="M30" s="17">
        <x:f>IF(AND(B30&lt;&gt;"",$E$6&lt;&gt;""),IF(B30&gt;=$E$6-0.5,1,0),"")</x:f>
      </x:c>
      <x:c r="N30" s="17">
        <x:f>IF(AND(G30&lt;&gt;"",$B$7&lt;&gt;""),IF(G30&gt;=$B$7-0.5,1,0),"")</x:f>
      </x:c>
    </x:row>
    <x:row r="31" spans="1:20">
      <x:c r="A31" s="14">
        <x:v>17</x:v>
      </x:c>
      <x:c r="B31" s="12"/>
      <x:c r="C31" s="12"/>
      <x:c r="D31" s="15"/>
      <x:c r="E31" s="16"/>
      <x:c r="F31" s="11"/>
      <x:c r="G31" s="12"/>
      <x:c r="H31" s="12"/>
      <x:c r="I31" s="15"/>
      <x:c r="J31" s="16"/>
      <x:c r="K31" s="11"/>
      <x:c r="L31" s="11"/>
      <x:c r="M31" s="17">
        <x:f>IF(AND(B31&lt;&gt;"",$E$6&lt;&gt;""),IF(B31&gt;=$E$6-0.5,1,0),"")</x:f>
      </x:c>
      <x:c r="N31" s="17">
        <x:f>IF(AND(G31&lt;&gt;"",$B$7&lt;&gt;""),IF(G31&gt;=$B$7-0.5,1,0),"")</x:f>
      </x:c>
    </x:row>
    <x:row r="32" spans="1:20">
      <x:c r="A32" s="14">
        <x:v>18</x:v>
      </x:c>
      <x:c r="B32" s="12"/>
      <x:c r="C32" s="12"/>
      <x:c r="D32" s="15"/>
      <x:c r="E32" s="16"/>
      <x:c r="F32" s="11"/>
      <x:c r="G32" s="12"/>
      <x:c r="H32" s="12"/>
      <x:c r="I32" s="15"/>
      <x:c r="J32" s="16"/>
      <x:c r="K32" s="11"/>
      <x:c r="L32" s="11"/>
      <x:c r="M32" s="17">
        <x:f>IF(AND(B32&lt;&gt;"",$E$6&lt;&gt;""),IF(B32&gt;=$E$6-0.5,1,0),"")</x:f>
      </x:c>
      <x:c r="N32" s="17">
        <x:f>IF(AND(G32&lt;&gt;"",$B$7&lt;&gt;""),IF(G32&gt;=$B$7-0.5,1,0),"")</x:f>
      </x:c>
    </x:row>
    <x:row r="33" spans="1:20">
      <x:c r="A33" s="14">
        <x:v>19</x:v>
      </x:c>
      <x:c r="B33" s="12"/>
      <x:c r="C33" s="12"/>
      <x:c r="D33" s="15"/>
      <x:c r="E33" s="16"/>
      <x:c r="F33" s="11"/>
      <x:c r="G33" s="12"/>
      <x:c r="H33" s="12"/>
      <x:c r="I33" s="15"/>
      <x:c r="J33" s="16"/>
      <x:c r="K33" s="11"/>
      <x:c r="L33" s="11"/>
      <x:c r="M33" s="17">
        <x:f>IF(AND(B33&lt;&gt;"",$E$6&lt;&gt;""),IF(B33&gt;=$E$6-0.5,1,0),"")</x:f>
      </x:c>
      <x:c r="N33" s="17">
        <x:f>IF(AND(G33&lt;&gt;"",$B$7&lt;&gt;""),IF(G33&gt;=$B$7-0.5,1,0),"")</x:f>
      </x:c>
    </x:row>
    <x:row r="34" spans="1:20">
      <x:c r="A34" s="14">
        <x:v>20</x:v>
      </x:c>
      <x:c r="B34" s="12"/>
      <x:c r="C34" s="12"/>
      <x:c r="D34" s="15"/>
      <x:c r="E34" s="16"/>
      <x:c r="F34" s="11"/>
      <x:c r="G34" s="12"/>
      <x:c r="H34" s="12"/>
      <x:c r="I34" s="15"/>
      <x:c r="J34" s="16"/>
      <x:c r="K34" s="11"/>
      <x:c r="L34" s="11"/>
      <x:c r="M34" s="17">
        <x:f>IF(AND(B34&lt;&gt;"",$E$6&lt;&gt;""),IF(B34&gt;=$E$6-0.5,1,0),"")</x:f>
      </x:c>
      <x:c r="N34" s="17">
        <x:f>IF(AND(G34&lt;&gt;"",$B$7&lt;&gt;""),IF(G34&gt;=$B$7-0.5,1,0),"")</x:f>
      </x:c>
    </x:row>
    <x:row r="35" spans="1:20">
      <x:c r="A35" s="14">
        <x:v>21</x:v>
      </x:c>
      <x:c r="B35" s="12"/>
      <x:c r="C35" s="12"/>
      <x:c r="D35" s="15"/>
      <x:c r="E35" s="16"/>
      <x:c r="F35" s="11"/>
      <x:c r="G35" s="12"/>
      <x:c r="H35" s="12"/>
      <x:c r="I35" s="15"/>
      <x:c r="J35" s="16"/>
      <x:c r="K35" s="11"/>
      <x:c r="L35" s="11"/>
      <x:c r="M35" s="17">
        <x:f>IF(AND(B35&lt;&gt;"",$E$6&lt;&gt;""),IF(B35&gt;=$E$6-0.5,1,0),"")</x:f>
      </x:c>
      <x:c r="N35" s="17">
        <x:f>IF(AND(G35&lt;&gt;"",$B$7&lt;&gt;""),IF(G35&gt;=$B$7-0.5,1,0),"")</x:f>
      </x:c>
    </x:row>
    <x:row r="36" spans="1:20">
      <x:c r="A36" s="14">
        <x:v>22</x:v>
      </x:c>
      <x:c r="B36" s="12"/>
      <x:c r="C36" s="12"/>
      <x:c r="D36" s="15"/>
      <x:c r="E36" s="16"/>
      <x:c r="F36" s="11"/>
      <x:c r="G36" s="12"/>
      <x:c r="H36" s="12"/>
      <x:c r="I36" s="15"/>
      <x:c r="J36" s="16"/>
      <x:c r="K36" s="11"/>
      <x:c r="L36" s="11"/>
      <x:c r="M36" s="17">
        <x:f>IF(AND(B36&lt;&gt;"",$E$6&lt;&gt;""),IF(B36&gt;=$E$6-0.5,1,0),"")</x:f>
      </x:c>
      <x:c r="N36" s="17">
        <x:f>IF(AND(G36&lt;&gt;"",$B$7&lt;&gt;""),IF(G36&gt;=$B$7-0.5,1,0),"")</x:f>
      </x:c>
    </x:row>
    <x:row r="37" spans="1:20">
      <x:c r="A37" s="14">
        <x:v>23</x:v>
      </x:c>
      <x:c r="B37" s="12"/>
      <x:c r="C37" s="12"/>
      <x:c r="D37" s="15"/>
      <x:c r="E37" s="16"/>
      <x:c r="F37" s="11"/>
      <x:c r="G37" s="12"/>
      <x:c r="H37" s="12"/>
      <x:c r="I37" s="15"/>
      <x:c r="J37" s="16"/>
      <x:c r="K37" s="11"/>
      <x:c r="L37" s="11"/>
      <x:c r="M37" s="17">
        <x:f>IF(AND(B37&lt;&gt;"",$E$6&lt;&gt;""),IF(B37&gt;=$E$6-0.5,1,0),"")</x:f>
      </x:c>
      <x:c r="N37" s="17">
        <x:f>IF(AND(G37&lt;&gt;"",$B$7&lt;&gt;""),IF(G37&gt;=$B$7-0.5,1,0),"")</x:f>
      </x:c>
    </x:row>
    <x:row r="38" spans="1:20">
      <x:c r="A38" s="14">
        <x:v>24</x:v>
      </x:c>
      <x:c r="B38" s="12"/>
      <x:c r="C38" s="12"/>
      <x:c r="D38" s="15"/>
      <x:c r="E38" s="16"/>
      <x:c r="F38" s="11"/>
      <x:c r="G38" s="12"/>
      <x:c r="H38" s="12"/>
      <x:c r="I38" s="15"/>
      <x:c r="J38" s="16"/>
      <x:c r="K38" s="11"/>
      <x:c r="L38" s="11"/>
      <x:c r="M38" s="17">
        <x:f>IF(AND(B38&lt;&gt;"",$E$6&lt;&gt;""),IF(B38&gt;=$E$6-0.5,1,0),"")</x:f>
      </x:c>
      <x:c r="N38" s="17">
        <x:f>IF(AND(G38&lt;&gt;"",$B$7&lt;&gt;""),IF(G38&gt;=$B$7-0.5,1,0),"")</x:f>
      </x:c>
    </x:row>
    <x:row r="39" spans="1:20">
      <x:c r="A39" s="14">
        <x:v>25</x:v>
      </x:c>
      <x:c r="B39" s="12"/>
      <x:c r="C39" s="12"/>
      <x:c r="D39" s="15"/>
      <x:c r="E39" s="16"/>
      <x:c r="F39" s="11"/>
      <x:c r="G39" s="12"/>
      <x:c r="H39" s="12"/>
      <x:c r="I39" s="15"/>
      <x:c r="J39" s="16"/>
      <x:c r="K39" s="11"/>
      <x:c r="L39" s="11"/>
      <x:c r="M39" s="17">
        <x:f>IF(AND(B39&lt;&gt;"",$E$6&lt;&gt;""),IF(B39&gt;=$E$6-0.5,1,0),"")</x:f>
      </x:c>
      <x:c r="N39" s="17">
        <x:f>IF(AND(G39&lt;&gt;"",$B$7&lt;&gt;""),IF(G39&gt;=$B$7-0.5,1,0),"")</x:f>
      </x:c>
    </x:row>
    <x:row r="40" spans="1:20">
      <x:c r="A40" s="14">
        <x:v>26</x:v>
      </x:c>
      <x:c r="B40" s="12"/>
      <x:c r="C40" s="12"/>
      <x:c r="D40" s="15"/>
      <x:c r="E40" s="16"/>
      <x:c r="F40" s="11"/>
      <x:c r="G40" s="12"/>
      <x:c r="H40" s="12"/>
      <x:c r="I40" s="15"/>
      <x:c r="J40" s="16"/>
      <x:c r="K40" s="11"/>
      <x:c r="L40" s="11"/>
      <x:c r="M40" s="17">
        <x:f>IF(AND(B40&lt;&gt;"",$E$6&lt;&gt;""),IF(B40&gt;=$E$6-0.5,1,0),"")</x:f>
      </x:c>
      <x:c r="N40" s="17">
        <x:f>IF(AND(G40&lt;&gt;"",$B$7&lt;&gt;""),IF(G40&gt;=$B$7-0.5,1,0),"")</x:f>
      </x:c>
    </x:row>
    <x:row r="41" spans="1:20">
      <x:c r="A41" s="14">
        <x:v>27</x:v>
      </x:c>
      <x:c r="B41" s="12"/>
      <x:c r="C41" s="12"/>
      <x:c r="D41" s="15"/>
      <x:c r="E41" s="16"/>
      <x:c r="F41" s="11"/>
      <x:c r="G41" s="12"/>
      <x:c r="H41" s="12"/>
      <x:c r="I41" s="15"/>
      <x:c r="J41" s="16"/>
      <x:c r="K41" s="11"/>
      <x:c r="L41" s="11"/>
      <x:c r="M41" s="17">
        <x:f>IF(AND(B41&lt;&gt;"",$E$6&lt;&gt;""),IF(B41&gt;=$E$6-0.5,1,0),"")</x:f>
      </x:c>
      <x:c r="N41" s="17">
        <x:f>IF(AND(G41&lt;&gt;"",$B$7&lt;&gt;""),IF(G41&gt;=$B$7-0.5,1,0),"")</x:f>
      </x:c>
    </x:row>
    <x:row r="42" spans="1:20">
      <x:c r="A42" s="14">
        <x:v>28</x:v>
      </x:c>
      <x:c r="B42" s="12"/>
      <x:c r="C42" s="12"/>
      <x:c r="D42" s="15"/>
      <x:c r="E42" s="16"/>
      <x:c r="F42" s="11"/>
      <x:c r="G42" s="12"/>
      <x:c r="H42" s="12"/>
      <x:c r="I42" s="15"/>
      <x:c r="J42" s="16"/>
      <x:c r="K42" s="11"/>
      <x:c r="L42" s="11"/>
      <x:c r="M42" s="17">
        <x:f>IF(AND(B42&lt;&gt;"",$E$6&lt;&gt;""),IF(B42&gt;=$E$6-0.5,1,0),"")</x:f>
      </x:c>
      <x:c r="N42" s="17">
        <x:f>IF(AND(G42&lt;&gt;"",$B$7&lt;&gt;""),IF(G42&gt;=$B$7-0.5,1,0),"")</x:f>
      </x:c>
    </x:row>
    <x:row r="43" spans="1:20">
      <x:c r="A43" s="14">
        <x:v>29</x:v>
      </x:c>
      <x:c r="B43" s="12"/>
      <x:c r="C43" s="12"/>
      <x:c r="D43" s="15"/>
      <x:c r="E43" s="16"/>
      <x:c r="F43" s="11"/>
      <x:c r="G43" s="12"/>
      <x:c r="H43" s="12"/>
      <x:c r="I43" s="15"/>
      <x:c r="J43" s="16"/>
      <x:c r="K43" s="11"/>
      <x:c r="L43" s="11"/>
      <x:c r="M43" s="17">
        <x:f>IF(AND(B43&lt;&gt;"",$E$6&lt;&gt;""),IF(B43&gt;=$E$6-0.5,1,0),"")</x:f>
      </x:c>
      <x:c r="N43" s="17">
        <x:f>IF(AND(G43&lt;&gt;"",$B$7&lt;&gt;""),IF(G43&gt;=$B$7-0.5,1,0),"")</x:f>
      </x:c>
    </x:row>
    <x:row r="44" spans="1:20">
      <x:c r="A44" s="14">
        <x:v>30</x:v>
      </x:c>
      <x:c r="B44" s="12"/>
      <x:c r="C44" s="12"/>
      <x:c r="D44" s="15"/>
      <x:c r="E44" s="16"/>
      <x:c r="F44" s="11"/>
      <x:c r="G44" s="12"/>
      <x:c r="H44" s="12"/>
      <x:c r="I44" s="15"/>
      <x:c r="J44" s="16"/>
      <x:c r="K44" s="11"/>
      <x:c r="L44" s="11"/>
      <x:c r="M44" s="17">
        <x:f>IF(AND(B44&lt;&gt;"",$E$6&lt;&gt;""),IF(B44&gt;=$E$6-0.5,1,0),"")</x:f>
      </x:c>
      <x:c r="N44" s="17">
        <x:f>IF(AND(G44&lt;&gt;"",$B$7&lt;&gt;""),IF(G44&gt;=$B$7-0.5,1,0),"")</x:f>
      </x:c>
    </x:row>
    <x:row r="45" spans="1:20">
      <x:c r="A45" s="14">
        <x:v>31</x:v>
      </x:c>
      <x:c r="B45" s="12"/>
      <x:c r="C45" s="12"/>
      <x:c r="D45" s="15"/>
      <x:c r="E45" s="16"/>
      <x:c r="F45" s="11"/>
      <x:c r="G45" s="12"/>
      <x:c r="H45" s="12"/>
      <x:c r="I45" s="15"/>
      <x:c r="J45" s="16"/>
      <x:c r="K45" s="11"/>
      <x:c r="L45" s="11"/>
      <x:c r="M45" s="17">
        <x:f>IF(AND(B45&lt;&gt;"",$E$6&lt;&gt;""),IF(B45&gt;=$E$6-0.5,1,0),"")</x:f>
      </x:c>
      <x:c r="N45" s="17">
        <x:f>IF(AND(G45&lt;&gt;"",$B$7&lt;&gt;""),IF(G45&gt;=$B$7-0.5,1,0),"")</x:f>
      </x:c>
    </x:row>
    <x:row r="46" spans="1:20">
      <x:c r="A46" s="14">
        <x:v>32</x:v>
      </x:c>
      <x:c r="B46" s="12"/>
      <x:c r="C46" s="12"/>
      <x:c r="D46" s="15"/>
      <x:c r="E46" s="16"/>
      <x:c r="F46" s="11"/>
      <x:c r="G46" s="12"/>
      <x:c r="H46" s="12"/>
      <x:c r="I46" s="15"/>
      <x:c r="J46" s="16"/>
      <x:c r="K46" s="11"/>
      <x:c r="L46" s="11"/>
      <x:c r="M46" s="17">
        <x:f>IF(AND(B46&lt;&gt;"",$E$6&lt;&gt;""),IF(B46&gt;=$E$6-0.5,1,0),"")</x:f>
      </x:c>
      <x:c r="N46" s="17">
        <x:f>IF(AND(G46&lt;&gt;"",$B$7&lt;&gt;""),IF(G46&gt;=$B$7-0.5,1,0),"")</x:f>
      </x:c>
    </x:row>
    <x:row r="47" spans="1:20">
      <x:c r="A47" s="14">
        <x:v>33</x:v>
      </x:c>
      <x:c r="B47" s="12"/>
      <x:c r="C47" s="12"/>
      <x:c r="D47" s="15"/>
      <x:c r="E47" s="16"/>
      <x:c r="F47" s="11"/>
      <x:c r="G47" s="12"/>
      <x:c r="H47" s="12"/>
      <x:c r="I47" s="15"/>
      <x:c r="J47" s="16"/>
      <x:c r="K47" s="11"/>
      <x:c r="L47" s="11"/>
      <x:c r="M47" s="17">
        <x:f>IF(AND(B47&lt;&gt;"",$E$6&lt;&gt;""),IF(B47&gt;=$E$6-0.5,1,0),"")</x:f>
      </x:c>
      <x:c r="N47" s="17">
        <x:f>IF(AND(G47&lt;&gt;"",$B$7&lt;&gt;""),IF(G47&gt;=$B$7-0.5,1,0),"")</x:f>
      </x:c>
    </x:row>
    <x:row r="48" spans="1:20">
      <x:c r="A48" s="14">
        <x:v>34</x:v>
      </x:c>
      <x:c r="B48" s="12"/>
      <x:c r="C48" s="12"/>
      <x:c r="D48" s="15"/>
      <x:c r="E48" s="16"/>
      <x:c r="F48" s="11"/>
      <x:c r="G48" s="12"/>
      <x:c r="H48" s="12"/>
      <x:c r="I48" s="15"/>
      <x:c r="J48" s="16"/>
      <x:c r="K48" s="11"/>
      <x:c r="L48" s="11"/>
      <x:c r="M48" s="17">
        <x:f>IF(AND(B48&lt;&gt;"",$E$6&lt;&gt;""),IF(B48&gt;=$E$6-0.5,1,0),"")</x:f>
      </x:c>
      <x:c r="N48" s="17">
        <x:f>IF(AND(G48&lt;&gt;"",$B$7&lt;&gt;""),IF(G48&gt;=$B$7-0.5,1,0),"")</x:f>
      </x:c>
    </x:row>
    <x:row r="49" spans="1:20">
      <x:c r="A49" s="14">
        <x:v>35</x:v>
      </x:c>
      <x:c r="B49" s="12"/>
      <x:c r="C49" s="12"/>
      <x:c r="D49" s="15"/>
      <x:c r="E49" s="16"/>
      <x:c r="F49" s="11"/>
      <x:c r="G49" s="12"/>
      <x:c r="H49" s="12"/>
      <x:c r="I49" s="15"/>
      <x:c r="J49" s="16"/>
      <x:c r="K49" s="11"/>
      <x:c r="L49" s="11"/>
      <x:c r="M49" s="17">
        <x:f>IF(AND(B49&lt;&gt;"",$E$6&lt;&gt;""),IF(B49&gt;=$E$6-0.5,1,0),"")</x:f>
      </x:c>
      <x:c r="N49" s="17">
        <x:f>IF(AND(G49&lt;&gt;"",$B$7&lt;&gt;""),IF(G49&gt;=$B$7-0.5,1,0),"")</x:f>
      </x:c>
    </x:row>
    <x:row r="50" spans="1:20">
      <x:c r="A50" s="14">
        <x:v>36</x:v>
      </x:c>
      <x:c r="B50" s="12"/>
      <x:c r="C50" s="12"/>
      <x:c r="D50" s="15"/>
      <x:c r="E50" s="16"/>
      <x:c r="F50" s="11"/>
      <x:c r="G50" s="12"/>
      <x:c r="H50" s="12"/>
      <x:c r="I50" s="15"/>
      <x:c r="J50" s="16"/>
      <x:c r="K50" s="11"/>
      <x:c r="L50" s="11"/>
      <x:c r="M50" s="17">
        <x:f>IF(AND(B50&lt;&gt;"",$E$6&lt;&gt;""),IF(B50&gt;=$E$6-0.5,1,0),"")</x:f>
      </x:c>
      <x:c r="N50" s="17">
        <x:f>IF(AND(G50&lt;&gt;"",$B$7&lt;&gt;""),IF(G50&gt;=$B$7-0.5,1,0),"")</x:f>
      </x:c>
    </x:row>
    <x:row r="51" spans="1:20">
      <x:c r="A51" s="14">
        <x:v>37</x:v>
      </x:c>
      <x:c r="B51" s="12"/>
      <x:c r="C51" s="12"/>
      <x:c r="D51" s="15"/>
      <x:c r="E51" s="16"/>
      <x:c r="F51" s="11"/>
      <x:c r="G51" s="12"/>
      <x:c r="H51" s="12"/>
      <x:c r="I51" s="15"/>
      <x:c r="J51" s="16"/>
      <x:c r="K51" s="11"/>
      <x:c r="L51" s="11"/>
      <x:c r="M51" s="17">
        <x:f>IF(AND(B51&lt;&gt;"",$E$6&lt;&gt;""),IF(B51&gt;=$E$6-0.5,1,0),"")</x:f>
      </x:c>
      <x:c r="N51" s="17">
        <x:f>IF(AND(G51&lt;&gt;"",$B$7&lt;&gt;""),IF(G51&gt;=$B$7-0.5,1,0),"")</x:f>
      </x:c>
    </x:row>
    <x:row r="52" spans="1:20">
      <x:c r="A52" s="14">
        <x:v>38</x:v>
      </x:c>
      <x:c r="B52" s="12"/>
      <x:c r="C52" s="12"/>
      <x:c r="D52" s="15"/>
      <x:c r="E52" s="16"/>
      <x:c r="F52" s="11"/>
      <x:c r="G52" s="12"/>
      <x:c r="H52" s="12"/>
      <x:c r="I52" s="15"/>
      <x:c r="J52" s="16"/>
      <x:c r="K52" s="11"/>
      <x:c r="L52" s="11"/>
      <x:c r="M52" s="17">
        <x:f>IF(AND(B52&lt;&gt;"",$E$6&lt;&gt;""),IF(B52&gt;=$E$6-0.5,1,0),"")</x:f>
      </x:c>
      <x:c r="N52" s="17">
        <x:f>IF(AND(G52&lt;&gt;"",$B$7&lt;&gt;""),IF(G52&gt;=$B$7-0.5,1,0),"")</x:f>
      </x:c>
    </x:row>
    <x:row r="53" spans="1:20">
      <x:c r="A53" s="14">
        <x:v>39</x:v>
      </x:c>
      <x:c r="B53" s="12"/>
      <x:c r="C53" s="12"/>
      <x:c r="D53" s="15"/>
      <x:c r="E53" s="16"/>
      <x:c r="F53" s="11"/>
      <x:c r="G53" s="12"/>
      <x:c r="H53" s="12"/>
      <x:c r="I53" s="15"/>
      <x:c r="J53" s="16"/>
      <x:c r="K53" s="11"/>
      <x:c r="L53" s="11"/>
      <x:c r="M53" s="17">
        <x:f>IF(AND(B53&lt;&gt;"",$E$6&lt;&gt;""),IF(B53&gt;=$E$6-0.5,1,0),"")</x:f>
      </x:c>
      <x:c r="N53" s="17">
        <x:f>IF(AND(G53&lt;&gt;"",$B$7&lt;&gt;""),IF(G53&gt;=$B$7-0.5,1,0),"")</x:f>
      </x:c>
    </x:row>
    <x:row r="54" spans="1:20">
      <x:c r="A54" s="14">
        <x:v>40</x:v>
      </x:c>
      <x:c r="B54" s="12"/>
      <x:c r="C54" s="12"/>
      <x:c r="D54" s="15"/>
      <x:c r="E54" s="16"/>
      <x:c r="F54" s="11"/>
      <x:c r="G54" s="12"/>
      <x:c r="H54" s="12"/>
      <x:c r="I54" s="15"/>
      <x:c r="J54" s="16"/>
      <x:c r="K54" s="11"/>
      <x:c r="L54" s="11"/>
      <x:c r="M54" s="17">
        <x:f>IF(AND(B54&lt;&gt;"",$E$6&lt;&gt;""),IF(B54&gt;=$E$6-0.5,1,0),"")</x:f>
      </x:c>
      <x:c r="N54" s="17">
        <x:f>IF(AND(G54&lt;&gt;"",$B$7&lt;&gt;""),IF(G54&gt;=$B$7-0.5,1,0),"")</x:f>
      </x:c>
    </x:row>
    <x:row r="55" spans="1:20">
      <x:c r="A55" s="14">
        <x:v>41</x:v>
      </x:c>
      <x:c r="B55" s="12"/>
      <x:c r="C55" s="12"/>
      <x:c r="D55" s="15"/>
      <x:c r="E55" s="16"/>
      <x:c r="F55" s="11"/>
      <x:c r="G55" s="12"/>
      <x:c r="H55" s="12"/>
      <x:c r="I55" s="15"/>
      <x:c r="J55" s="16"/>
      <x:c r="K55" s="11"/>
      <x:c r="L55" s="11"/>
      <x:c r="M55" s="17">
        <x:f>IF(AND(B55&lt;&gt;"",$E$6&lt;&gt;""),IF(B55&gt;=$E$6-0.5,1,0),"")</x:f>
      </x:c>
      <x:c r="N55" s="17">
        <x:f>IF(AND(G55&lt;&gt;"",$B$7&lt;&gt;""),IF(G55&gt;=$B$7-0.5,1,0),"")</x:f>
      </x:c>
    </x:row>
    <x:row r="56" spans="1:20">
      <x:c r="A56" s="14">
        <x:v>42</x:v>
      </x:c>
      <x:c r="B56" s="12"/>
      <x:c r="C56" s="12"/>
      <x:c r="D56" s="15"/>
      <x:c r="E56" s="16"/>
      <x:c r="F56" s="11"/>
      <x:c r="G56" s="12"/>
      <x:c r="H56" s="12"/>
      <x:c r="I56" s="15"/>
      <x:c r="J56" s="16"/>
      <x:c r="K56" s="11"/>
      <x:c r="L56" s="11"/>
      <x:c r="M56" s="17">
        <x:f>IF(AND(B56&lt;&gt;"",$E$6&lt;&gt;""),IF(B56&gt;=$E$6-0.5,1,0),"")</x:f>
      </x:c>
      <x:c r="N56" s="17">
        <x:f>IF(AND(G56&lt;&gt;"",$B$7&lt;&gt;""),IF(G56&gt;=$B$7-0.5,1,0),"")</x:f>
      </x:c>
    </x:row>
    <x:row r="57" spans="1:20">
      <x:c r="A57" s="14">
        <x:v>43</x:v>
      </x:c>
      <x:c r="B57" s="12"/>
      <x:c r="C57" s="12"/>
      <x:c r="D57" s="15"/>
      <x:c r="E57" s="16"/>
      <x:c r="F57" s="11"/>
      <x:c r="G57" s="12"/>
      <x:c r="H57" s="12"/>
      <x:c r="I57" s="15"/>
      <x:c r="J57" s="16"/>
      <x:c r="K57" s="11"/>
      <x:c r="L57" s="11"/>
      <x:c r="M57" s="17">
        <x:f>IF(AND(B57&lt;&gt;"",$E$6&lt;&gt;""),IF(B57&gt;=$E$6-0.5,1,0),"")</x:f>
      </x:c>
      <x:c r="N57" s="17">
        <x:f>IF(AND(G57&lt;&gt;"",$B$7&lt;&gt;""),IF(G57&gt;=$B$7-0.5,1,0),"")</x:f>
      </x:c>
    </x:row>
    <x:row r="58" spans="1:20">
      <x:c r="A58" s="14">
        <x:v>44</x:v>
      </x:c>
      <x:c r="B58" s="12"/>
      <x:c r="C58" s="12"/>
      <x:c r="D58" s="15"/>
      <x:c r="E58" s="16"/>
      <x:c r="F58" s="11"/>
      <x:c r="G58" s="12"/>
      <x:c r="H58" s="12"/>
      <x:c r="I58" s="15"/>
      <x:c r="J58" s="16"/>
      <x:c r="K58" s="11"/>
      <x:c r="L58" s="11"/>
      <x:c r="M58" s="17">
        <x:f>IF(AND(B58&lt;&gt;"",$E$6&lt;&gt;""),IF(B58&gt;=$E$6-0.5,1,0),"")</x:f>
      </x:c>
      <x:c r="N58" s="17">
        <x:f>IF(AND(G58&lt;&gt;"",$B$7&lt;&gt;""),IF(G58&gt;=$B$7-0.5,1,0),"")</x:f>
      </x:c>
    </x:row>
    <x:row r="59" spans="1:20">
      <x:c r="A59" s="14">
        <x:v>45</x:v>
      </x:c>
      <x:c r="B59" s="12"/>
      <x:c r="C59" s="12"/>
      <x:c r="D59" s="15"/>
      <x:c r="E59" s="16"/>
      <x:c r="F59" s="11"/>
      <x:c r="G59" s="12"/>
      <x:c r="H59" s="12"/>
      <x:c r="I59" s="15"/>
      <x:c r="J59" s="16"/>
      <x:c r="K59" s="11"/>
      <x:c r="L59" s="11"/>
      <x:c r="M59" s="17">
        <x:f>IF(AND(B59&lt;&gt;"",$E$6&lt;&gt;""),IF(B59&gt;=$E$6-0.5,1,0),"")</x:f>
      </x:c>
      <x:c r="N59" s="17">
        <x:f>IF(AND(G59&lt;&gt;"",$B$7&lt;&gt;""),IF(G59&gt;=$B$7-0.5,1,0),"")</x:f>
      </x:c>
    </x:row>
    <x:row r="60" spans="1:20">
      <x:c r="A60" s="14">
        <x:v>46</x:v>
      </x:c>
      <x:c r="B60" s="12"/>
      <x:c r="C60" s="12"/>
      <x:c r="D60" s="15"/>
      <x:c r="E60" s="16"/>
      <x:c r="F60" s="11"/>
      <x:c r="G60" s="12"/>
      <x:c r="H60" s="12"/>
      <x:c r="I60" s="15"/>
      <x:c r="J60" s="16"/>
      <x:c r="K60" s="11"/>
      <x:c r="L60" s="11"/>
      <x:c r="M60" s="17">
        <x:f>IF(AND(B60&lt;&gt;"",$E$6&lt;&gt;""),IF(B60&gt;=$E$6-0.5,1,0),"")</x:f>
      </x:c>
      <x:c r="N60" s="17">
        <x:f>IF(AND(G60&lt;&gt;"",$B$7&lt;&gt;""),IF(G60&gt;=$B$7-0.5,1,0),"")</x:f>
      </x:c>
    </x:row>
    <x:row r="61" spans="1:20">
      <x:c r="A61" s="14">
        <x:v>47</x:v>
      </x:c>
      <x:c r="B61" s="12"/>
      <x:c r="C61" s="12"/>
      <x:c r="D61" s="15"/>
      <x:c r="E61" s="16"/>
      <x:c r="F61" s="11"/>
      <x:c r="G61" s="12"/>
      <x:c r="H61" s="12"/>
      <x:c r="I61" s="15"/>
      <x:c r="J61" s="16"/>
      <x:c r="K61" s="11"/>
      <x:c r="L61" s="11"/>
      <x:c r="M61" s="17">
        <x:f>IF(AND(B61&lt;&gt;"",$E$6&lt;&gt;""),IF(B61&gt;=$E$6-0.5,1,0),"")</x:f>
      </x:c>
      <x:c r="N61" s="17">
        <x:f>IF(AND(G61&lt;&gt;"",$B$7&lt;&gt;""),IF(G61&gt;=$B$7-0.5,1,0),"")</x:f>
      </x:c>
    </x:row>
    <x:row r="62" spans="1:20">
      <x:c r="A62" s="14">
        <x:v>48</x:v>
      </x:c>
      <x:c r="B62" s="12"/>
      <x:c r="C62" s="12"/>
      <x:c r="D62" s="15"/>
      <x:c r="E62" s="16"/>
      <x:c r="F62" s="11"/>
      <x:c r="G62" s="12"/>
      <x:c r="H62" s="12"/>
      <x:c r="I62" s="15"/>
      <x:c r="J62" s="16"/>
      <x:c r="K62" s="11"/>
      <x:c r="L62" s="11"/>
      <x:c r="M62" s="17">
        <x:f>IF(AND(B62&lt;&gt;"",$E$6&lt;&gt;""),IF(B62&gt;=$E$6-0.5,1,0),"")</x:f>
      </x:c>
      <x:c r="N62" s="17">
        <x:f>IF(AND(G62&lt;&gt;"",$B$7&lt;&gt;""),IF(G62&gt;=$B$7-0.5,1,0),"")</x:f>
      </x:c>
    </x:row>
    <x:row r="63" spans="1:20">
      <x:c r="A63" s="14">
        <x:v>49</x:v>
      </x:c>
      <x:c r="B63" s="12"/>
      <x:c r="C63" s="12"/>
      <x:c r="D63" s="15"/>
      <x:c r="E63" s="16"/>
      <x:c r="F63" s="11"/>
      <x:c r="G63" s="12"/>
      <x:c r="H63" s="12"/>
      <x:c r="I63" s="15"/>
      <x:c r="J63" s="16"/>
      <x:c r="K63" s="11"/>
      <x:c r="L63" s="11"/>
      <x:c r="M63" s="17">
        <x:f>IF(AND(B63&lt;&gt;"",$E$6&lt;&gt;""),IF(B63&gt;=$E$6-0.5,1,0),"")</x:f>
      </x:c>
      <x:c r="N63" s="17">
        <x:f>IF(AND(G63&lt;&gt;"",$B$7&lt;&gt;""),IF(G63&gt;=$B$7-0.5,1,0),"")</x:f>
      </x:c>
    </x:row>
    <x:row r="64" spans="1:20">
      <x:c r="A64" s="14">
        <x:v>50</x:v>
      </x:c>
      <x:c r="B64" s="12"/>
      <x:c r="C64" s="12"/>
      <x:c r="D64" s="15"/>
      <x:c r="E64" s="16"/>
      <x:c r="F64" s="11"/>
      <x:c r="G64" s="12"/>
      <x:c r="H64" s="12"/>
      <x:c r="I64" s="15"/>
      <x:c r="J64" s="16"/>
      <x:c r="K64" s="11"/>
      <x:c r="L64" s="11"/>
      <x:c r="M64" s="17">
        <x:f>IF(AND(B64&lt;&gt;"",$E$6&lt;&gt;""),IF(B64&gt;=$E$6-0.5,1,0),"")</x:f>
      </x:c>
      <x:c r="N64" s="17">
        <x:f>IF(AND(G64&lt;&gt;"",$B$7&lt;&gt;""),IF(G64&gt;=$B$7-0.5,1,0),"")</x:f>
      </x:c>
    </x:row>
    <x:row r="65" spans="1:20">
      <x:c r="A65" s="14">
        <x:v>51</x:v>
      </x:c>
      <x:c r="B65" s="12"/>
      <x:c r="C65" s="12"/>
      <x:c r="D65" s="15"/>
      <x:c r="E65" s="16"/>
      <x:c r="F65" s="11"/>
      <x:c r="G65" s="12"/>
      <x:c r="H65" s="12"/>
      <x:c r="I65" s="15"/>
      <x:c r="J65" s="16"/>
      <x:c r="K65" s="11"/>
      <x:c r="L65" s="11"/>
      <x:c r="M65" s="17">
        <x:f>IF(AND(B65&lt;&gt;"",$E$6&lt;&gt;""),IF(B65&gt;=$E$6-0.5,1,0),"")</x:f>
      </x:c>
      <x:c r="N65" s="17">
        <x:f>IF(AND(G65&lt;&gt;"",$B$7&lt;&gt;""),IF(G65&gt;=$B$7-0.5,1,0),"")</x:f>
      </x:c>
    </x:row>
    <x:row r="66" spans="1:20">
      <x:c r="A66" s="14">
        <x:v>52</x:v>
      </x:c>
      <x:c r="B66" s="12"/>
      <x:c r="C66" s="12"/>
      <x:c r="D66" s="15"/>
      <x:c r="E66" s="16"/>
      <x:c r="F66" s="11"/>
      <x:c r="G66" s="12"/>
      <x:c r="H66" s="12"/>
      <x:c r="I66" s="15"/>
      <x:c r="J66" s="16"/>
      <x:c r="K66" s="11"/>
      <x:c r="L66" s="11"/>
      <x:c r="M66" s="17">
        <x:f>IF(AND(B66&lt;&gt;"",$E$6&lt;&gt;""),IF(B66&gt;=$E$6-0.5,1,0),"")</x:f>
      </x:c>
      <x:c r="N66" s="17">
        <x:f>IF(AND(G66&lt;&gt;"",$B$7&lt;&gt;""),IF(G66&gt;=$B$7-0.5,1,0),"")</x:f>
      </x:c>
    </x:row>
    <x:row r="67" spans="1:20">
      <x:c r="A67" s="14">
        <x:v>53</x:v>
      </x:c>
      <x:c r="B67" s="12"/>
      <x:c r="C67" s="12"/>
      <x:c r="D67" s="15"/>
      <x:c r="E67" s="16"/>
      <x:c r="F67" s="11"/>
      <x:c r="G67" s="12"/>
      <x:c r="H67" s="12"/>
      <x:c r="I67" s="15"/>
      <x:c r="J67" s="16"/>
      <x:c r="K67" s="11"/>
      <x:c r="L67" s="11"/>
      <x:c r="M67" s="17">
        <x:f>IF(AND(B67&lt;&gt;"",$E$6&lt;&gt;""),IF(B67&gt;=$E$6-0.5,1,0),"")</x:f>
      </x:c>
      <x:c r="N67" s="17">
        <x:f>IF(AND(G67&lt;&gt;"",$B$7&lt;&gt;""),IF(G67&gt;=$B$7-0.5,1,0),"")</x:f>
      </x:c>
    </x:row>
    <x:row r="68" spans="1:20">
      <x:c r="A68" s="14">
        <x:v>54</x:v>
      </x:c>
      <x:c r="B68" s="12"/>
      <x:c r="C68" s="12"/>
      <x:c r="D68" s="15"/>
      <x:c r="E68" s="16"/>
      <x:c r="F68" s="11"/>
      <x:c r="G68" s="12"/>
      <x:c r="H68" s="12"/>
      <x:c r="I68" s="15"/>
      <x:c r="J68" s="16"/>
      <x:c r="K68" s="11"/>
      <x:c r="L68" s="11"/>
      <x:c r="M68" s="17">
        <x:f>IF(AND(B68&lt;&gt;"",$E$6&lt;&gt;""),IF(B68&gt;=$E$6-0.5,1,0),"")</x:f>
      </x:c>
      <x:c r="N68" s="17">
        <x:f>IF(AND(G68&lt;&gt;"",$B$7&lt;&gt;""),IF(G68&gt;=$B$7-0.5,1,0),"")</x:f>
      </x:c>
    </x:row>
    <x:row r="69" spans="1:20">
      <x:c r="A69" s="14">
        <x:v>55</x:v>
      </x:c>
      <x:c r="B69" s="12"/>
      <x:c r="C69" s="12"/>
      <x:c r="D69" s="15"/>
      <x:c r="E69" s="16"/>
      <x:c r="F69" s="11"/>
      <x:c r="G69" s="12"/>
      <x:c r="H69" s="12"/>
      <x:c r="I69" s="15"/>
      <x:c r="J69" s="16"/>
      <x:c r="K69" s="11"/>
      <x:c r="L69" s="11"/>
      <x:c r="M69" s="17">
        <x:f>IF(AND(B69&lt;&gt;"",$E$6&lt;&gt;""),IF(B69&gt;=$E$6-0.5,1,0),"")</x:f>
      </x:c>
      <x:c r="N69" s="17">
        <x:f>IF(AND(G69&lt;&gt;"",$B$7&lt;&gt;""),IF(G69&gt;=$B$7-0.5,1,0),"")</x:f>
      </x:c>
    </x:row>
    <x:row r="70" spans="1:20">
      <x:c r="A70" s="14">
        <x:v>56</x:v>
      </x:c>
      <x:c r="B70" s="12"/>
      <x:c r="C70" s="12"/>
      <x:c r="D70" s="15"/>
      <x:c r="E70" s="16"/>
      <x:c r="F70" s="11"/>
      <x:c r="G70" s="12"/>
      <x:c r="H70" s="12"/>
      <x:c r="I70" s="15"/>
      <x:c r="J70" s="16"/>
      <x:c r="K70" s="11"/>
      <x:c r="L70" s="11"/>
      <x:c r="M70" s="17">
        <x:f>IF(AND(B70&lt;&gt;"",$E$6&lt;&gt;""),IF(B70&gt;=$E$6-0.5,1,0),"")</x:f>
      </x:c>
      <x:c r="N70" s="17">
        <x:f>IF(AND(G70&lt;&gt;"",$B$7&lt;&gt;""),IF(G70&gt;=$B$7-0.5,1,0),"")</x:f>
      </x:c>
    </x:row>
    <x:row r="71" spans="1:20">
      <x:c r="A71" s="14">
        <x:v>57</x:v>
      </x:c>
      <x:c r="B71" s="12"/>
      <x:c r="C71" s="12"/>
      <x:c r="D71" s="15"/>
      <x:c r="E71" s="16"/>
      <x:c r="F71" s="11"/>
      <x:c r="G71" s="12"/>
      <x:c r="H71" s="12"/>
      <x:c r="I71" s="15"/>
      <x:c r="J71" s="16"/>
      <x:c r="K71" s="11"/>
      <x:c r="L71" s="11"/>
      <x:c r="M71" s="17">
        <x:f>IF(AND(B71&lt;&gt;"",$E$6&lt;&gt;""),IF(B71&gt;=$E$6-0.5,1,0),"")</x:f>
      </x:c>
      <x:c r="N71" s="17">
        <x:f>IF(AND(G71&lt;&gt;"",$B$7&lt;&gt;""),IF(G71&gt;=$B$7-0.5,1,0),"")</x:f>
      </x:c>
    </x:row>
    <x:row r="72" spans="1:20">
      <x:c r="A72" s="14">
        <x:v>58</x:v>
      </x:c>
      <x:c r="B72" s="12"/>
      <x:c r="C72" s="12"/>
      <x:c r="D72" s="15"/>
      <x:c r="E72" s="16"/>
      <x:c r="F72" s="11"/>
      <x:c r="G72" s="12"/>
      <x:c r="H72" s="12"/>
      <x:c r="I72" s="15"/>
      <x:c r="J72" s="16"/>
      <x:c r="K72" s="11"/>
      <x:c r="L72" s="11"/>
      <x:c r="M72" s="17">
        <x:f>IF(AND(B72&lt;&gt;"",$E$6&lt;&gt;""),IF(B72&gt;=$E$6-0.5,1,0),"")</x:f>
      </x:c>
      <x:c r="N72" s="17">
        <x:f>IF(AND(G72&lt;&gt;"",$B$7&lt;&gt;""),IF(G72&gt;=$B$7-0.5,1,0),"")</x:f>
      </x:c>
    </x:row>
    <x:row r="73" spans="1:20">
      <x:c r="A73" s="14">
        <x:v>59</x:v>
      </x:c>
      <x:c r="B73" s="12"/>
      <x:c r="C73" s="12"/>
      <x:c r="D73" s="15"/>
      <x:c r="E73" s="16"/>
      <x:c r="F73" s="11"/>
      <x:c r="G73" s="12"/>
      <x:c r="H73" s="12"/>
      <x:c r="I73" s="15"/>
      <x:c r="J73" s="16"/>
      <x:c r="K73" s="11"/>
      <x:c r="L73" s="11"/>
      <x:c r="M73" s="17">
        <x:f>IF(AND(B73&lt;&gt;"",$E$6&lt;&gt;""),IF(B73&gt;=$E$6-0.5,1,0),"")</x:f>
      </x:c>
      <x:c r="N73" s="17">
        <x:f>IF(AND(G73&lt;&gt;"",$B$7&lt;&gt;""),IF(G73&gt;=$B$7-0.5,1,0),"")</x:f>
      </x:c>
    </x:row>
    <x:row r="74" spans="1:20">
      <x:c r="A74" s="14">
        <x:v>60</x:v>
      </x:c>
      <x:c r="B74" s="12"/>
      <x:c r="C74" s="12"/>
      <x:c r="D74" s="15"/>
      <x:c r="E74" s="16"/>
      <x:c r="F74" s="11"/>
      <x:c r="G74" s="12"/>
      <x:c r="H74" s="12"/>
      <x:c r="I74" s="15"/>
      <x:c r="J74" s="16"/>
      <x:c r="K74" s="11"/>
      <x:c r="L74" s="11"/>
      <x:c r="M74" s="17">
        <x:f>IF(AND(B74&lt;&gt;"",$E$6&lt;&gt;""),IF(B74&gt;=$E$6-0.5,1,0),"")</x:f>
      </x:c>
      <x:c r="N74" s="17">
        <x:f>IF(AND(G74&lt;&gt;"",$B$7&lt;&gt;""),IF(G74&gt;=$B$7-0.5,1,0),"")</x:f>
      </x:c>
    </x:row>
  </x:sheetData>
  <x:mergeCells count="15">
    <x:mergeCell ref="B4:C4"/>
    <x:mergeCell ref="E4:F4"/>
    <x:mergeCell ref="B5:C5"/>
    <x:mergeCell ref="E5:F5"/>
    <x:mergeCell ref="B6:C6"/>
    <x:mergeCell ref="E6:F6"/>
    <x:mergeCell ref="B7:C7"/>
    <x:mergeCell ref="E7:F7"/>
    <x:mergeCell ref="B8:C8"/>
    <x:mergeCell ref="E8:F8"/>
    <x:mergeCell ref="B9:C9"/>
    <x:mergeCell ref="E9:F9"/>
    <x:mergeCell ref="B10:C10"/>
    <x:mergeCell ref="E10:F10"/>
    <x:mergeCell ref="B11:C11"/>
  </x:mergeCells>
  <x:dataValidations count="1">
    <x:dataValidation type="list" errorStyle="stop" operator="between" allowBlank="1" showDropDown="0" showInputMessage="1" showErrorMessage="1" errorTitle="" error="" promptTitle="" prompt="" sqref="E7:E7">
      <x:formula1>"尽快,按速率,按时长"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26"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72"/>
  <x:sheetViews>
    <x:sheetView workbookViewId="0">
      <x:pane xSplit="1" ySplit="11" topLeftCell="B12" activePane="bottomRight" state="frozenSplit"/>
    </x:sheetView>
  </x:sheetViews>
  <x:sheetFormatPr defaultRowHeight="15"/>
  <x:cols>
    <x:col min="1" max="1" width="10.710625" style="0" customWidth="1"/>
    <x:col min="2" max="3" width="11.710625" style="0" customWidth="1"/>
    <x:col min="4" max="4" width="10.710625" style="0" customWidth="1"/>
    <x:col min="5" max="6" width="11.710625" style="0" customWidth="1"/>
    <x:col min="7" max="7" width="10.710625" style="0" customWidth="1"/>
    <x:col min="8" max="8" width="12.710625" style="0" customWidth="1"/>
    <x:col min="9" max="9" width="22.710625" style="0" customWidth="1"/>
    <x:col min="10" max="10" width="9.140625" style="0" customWidth="1"/>
    <x:col min="11" max="11" width="36.710625" style="0" customWidth="1"/>
    <x:col min="12" max="12" width="14.710625" style="0" customWidth="1"/>
    <x:col min="13" max="15" width="9.140625" style="0" customWidth="1"/>
  </x:cols>
  <x:sheetData>
    <x:row r="1" spans="1:15">
      <x:c r="A1" s="1" t="s">
        <x:v>88</x:v>
      </x:c>
    </x:row>
    <x:row r="2" spans="1:15">
      <x:c r="A2" s="2" t="s">
        <x:v>89</x:v>
      </x:c>
    </x:row>
    <x:row r="4" spans="1:15">
      <x:c r="A4" s="8" t="s">
        <x:v>25</x:v>
      </x:c>
      <x:c r="B4" s="9"/>
      <x:c r="C4" s="10"/>
      <x:c r="D4" s="8" t="s">
        <x:v>26</x:v>
      </x:c>
      <x:c r="E4" s="11"/>
      <x:c r="F4" s="10"/>
    </x:row>
    <x:row r="5" spans="1:15">
      <x:c r="A5" s="8" t="s">
        <x:v>27</x:v>
      </x:c>
      <x:c r="B5" s="12"/>
      <x:c r="C5" s="10"/>
      <x:c r="D5" s="8" t="s">
        <x:v>28</x:v>
      </x:c>
      <x:c r="E5" s="12"/>
      <x:c r="F5" s="10"/>
    </x:row>
    <x:row r="6" spans="1:15">
      <x:c r="A6" s="8" t="s">
        <x:v>90</x:v>
      </x:c>
      <x:c r="B6" s="12"/>
      <x:c r="C6" s="10"/>
      <x:c r="D6" s="8" t="s">
        <x:v>91</x:v>
      </x:c>
      <x:c r="E6" s="12"/>
      <x:c r="F6" s="10"/>
    </x:row>
    <x:row r="7" spans="1:15">
      <x:c r="A7" s="8" t="s">
        <x:v>92</x:v>
      </x:c>
      <x:c r="B7" s="12"/>
      <x:c r="C7" s="10"/>
      <x:c r="D7" s="8" t="s">
        <x:v>93</x:v>
      </x:c>
      <x:c r="E7" s="12"/>
      <x:c r="F7" s="10"/>
    </x:row>
    <x:row r="8" spans="1:15">
      <x:c r="A8" s="8" t="s">
        <x:v>35</x:v>
      </x:c>
      <x:c r="B8" s="11"/>
      <x:c r="C8" s="10"/>
      <x:c r="D8" s="8" t="s">
        <x:v>36</x:v>
      </x:c>
      <x:c r="E8" s="11"/>
      <x:c r="F8" s="10"/>
    </x:row>
    <x:row r="9" spans="1:15">
      <x:c r="A9" s="8" t="s">
        <x:v>37</x:v>
      </x:c>
      <x:c r="B9" s="11"/>
      <x:c r="C9" s="10"/>
    </x:row>
    <x:row r="11" spans="1:15">
      <x:c r="A11" s="13" t="s">
        <x:v>38</x:v>
      </x:c>
      <x:c r="B11" s="13" t="s">
        <x:v>94</x:v>
      </x:c>
      <x:c r="C11" s="13" t="s">
        <x:v>95</x:v>
      </x:c>
      <x:c r="D11" s="13" t="s">
        <x:v>40</x:v>
      </x:c>
      <x:c r="E11" s="13" t="s">
        <x:v>96</x:v>
      </x:c>
      <x:c r="F11" s="13" t="s">
        <x:v>97</x:v>
      </x:c>
      <x:c r="G11" s="13" t="s">
        <x:v>45</x:v>
      </x:c>
      <x:c r="H11" s="13" t="s">
        <x:v>98</x:v>
      </x:c>
      <x:c r="I11" s="13" t="s">
        <x:v>37</x:v>
      </x:c>
      <x:c r="K11" s="13" t="s">
        <x:v>51</x:v>
      </x:c>
      <x:c r="L11" s="13" t="s">
        <x:v>52</x:v>
      </x:c>
    </x:row>
    <x:row r="12" spans="1:15">
      <x:c r="A12" s="14">
        <x:v>0</x:v>
      </x:c>
      <x:c r="B12" s="12"/>
      <x:c r="C12" s="16"/>
      <x:c r="D12" s="12"/>
      <x:c r="E12" s="12"/>
      <x:c r="F12" s="16"/>
      <x:c r="G12" s="12"/>
      <x:c r="H12" s="14"/>
      <x:c r="I12" s="11"/>
      <x:c r="K12" s="8" t="s">
        <x:v>99</x:v>
      </x:c>
      <x:c r="L12" s="19">
        <x:f>IF(COUNT(B12:B72)=0,"",AVERAGE(B12:B72))</x:f>
      </x:c>
    </x:row>
    <x:row r="13" spans="1:15">
      <x:c r="A13" s="14">
        <x:v>2</x:v>
      </x:c>
      <x:c r="B13" s="12"/>
      <x:c r="C13" s="16"/>
      <x:c r="D13" s="12"/>
      <x:c r="E13" s="12"/>
      <x:c r="F13" s="16"/>
      <x:c r="G13" s="12"/>
      <x:c r="H13" s="14"/>
      <x:c r="I13" s="11"/>
      <x:c r="K13" s="8" t="s">
        <x:v>100</x:v>
      </x:c>
      <x:c r="L13" s="19">
        <x:f>IF(COUNT(B12:B72)=0,"",MAX(B12:B72)-MIN(B12:B72))</x:f>
      </x:c>
    </x:row>
    <x:row r="14" spans="1:15">
      <x:c r="A14" s="14">
        <x:v>4</x:v>
      </x:c>
      <x:c r="B14" s="12"/>
      <x:c r="C14" s="16"/>
      <x:c r="D14" s="12"/>
      <x:c r="E14" s="12"/>
      <x:c r="F14" s="16"/>
      <x:c r="G14" s="12"/>
      <x:c r="H14" s="14"/>
      <x:c r="I14" s="11"/>
      <x:c r="K14" s="8" t="s">
        <x:v>101</x:v>
      </x:c>
      <x:c r="L14" s="19">
        <x:f>IF(COUNT(B12:B72)=0,"",(MAX(B12:B72)-MIN(B12:B72))/2)</x:f>
      </x:c>
    </x:row>
    <x:row r="15" spans="1:15">
      <x:c r="A15" s="14">
        <x:v>6</x:v>
      </x:c>
      <x:c r="B15" s="12"/>
      <x:c r="C15" s="16"/>
      <x:c r="D15" s="12"/>
      <x:c r="E15" s="12"/>
      <x:c r="F15" s="16"/>
      <x:c r="G15" s="12"/>
      <x:c r="H15" s="14"/>
      <x:c r="I15" s="11"/>
      <x:c r="K15" s="8" t="s">
        <x:v>102</x:v>
      </x:c>
      <x:c r="L15" s="20">
        <x:f>IF(COUNT(B12:B72)&lt;2,"",STDEV(B12:B72))</x:f>
      </x:c>
    </x:row>
    <x:row r="16" spans="1:15">
      <x:c r="A16" s="14">
        <x:v>8</x:v>
      </x:c>
      <x:c r="B16" s="12"/>
      <x:c r="C16" s="16"/>
      <x:c r="D16" s="12"/>
      <x:c r="E16" s="12"/>
      <x:c r="F16" s="16"/>
      <x:c r="G16" s="12"/>
      <x:c r="H16" s="14"/>
      <x:c r="I16" s="11"/>
      <x:c r="K16" s="8" t="s">
        <x:v>103</x:v>
      </x:c>
      <x:c r="L16" s="19">
        <x:f>IF(COUNT(C12:C72)=0,"",MAX(C12:C72)-MIN(C12:C72))</x:f>
      </x:c>
    </x:row>
    <x:row r="17" spans="1:15">
      <x:c r="A17" s="14">
        <x:v>10</x:v>
      </x:c>
      <x:c r="B17" s="12"/>
      <x:c r="C17" s="16"/>
      <x:c r="D17" s="12"/>
      <x:c r="E17" s="12"/>
      <x:c r="F17" s="16"/>
      <x:c r="G17" s="12"/>
      <x:c r="H17" s="14"/>
      <x:c r="I17" s="11"/>
      <x:c r="K17" s="8" t="s">
        <x:v>104</x:v>
      </x:c>
      <x:c r="L17" s="19">
        <x:f>IF(OR(COUNT(C12:C72)=0,$B$6=""),"",AVERAGE(C12:C72)-$B$6)</x:f>
      </x:c>
    </x:row>
    <x:row r="18" spans="1:15">
      <x:c r="A18" s="14">
        <x:v>12</x:v>
      </x:c>
      <x:c r="B18" s="12"/>
      <x:c r="C18" s="16"/>
      <x:c r="D18" s="12"/>
      <x:c r="E18" s="12"/>
      <x:c r="F18" s="16"/>
      <x:c r="G18" s="12"/>
      <x:c r="H18" s="14"/>
      <x:c r="I18" s="11"/>
      <x:c r="K18" s="8" t="s">
        <x:v>57</x:v>
      </x:c>
      <x:c r="L18" s="18">
        <x:f>IF(COUNT(D12:D72)=0,"",AVERAGE(D12:D72))</x:f>
      </x:c>
    </x:row>
    <x:row r="19" spans="1:15">
      <x:c r="A19" s="14">
        <x:v>14</x:v>
      </x:c>
      <x:c r="B19" s="12"/>
      <x:c r="C19" s="16"/>
      <x:c r="D19" s="12"/>
      <x:c r="E19" s="12"/>
      <x:c r="F19" s="16"/>
      <x:c r="G19" s="12"/>
      <x:c r="H19" s="14"/>
      <x:c r="I19" s="11"/>
    </x:row>
    <x:row r="20" spans="1:15">
      <x:c r="A20" s="14">
        <x:v>16</x:v>
      </x:c>
      <x:c r="B20" s="12"/>
      <x:c r="C20" s="16"/>
      <x:c r="D20" s="12"/>
      <x:c r="E20" s="12"/>
      <x:c r="F20" s="16"/>
      <x:c r="G20" s="12"/>
      <x:c r="H20" s="14"/>
      <x:c r="I20" s="11"/>
      <x:c r="K20" s="8" t="s">
        <x:v>105</x:v>
      </x:c>
      <x:c r="L20" s="19">
        <x:f>IF(COUNT(E12:E72)=0,"",AVERAGE(E12:E72))</x:f>
      </x:c>
    </x:row>
    <x:row r="21" spans="1:15">
      <x:c r="A21" s="14">
        <x:v>18</x:v>
      </x:c>
      <x:c r="B21" s="12"/>
      <x:c r="C21" s="16"/>
      <x:c r="D21" s="12"/>
      <x:c r="E21" s="12"/>
      <x:c r="F21" s="16"/>
      <x:c r="G21" s="12"/>
      <x:c r="H21" s="14"/>
      <x:c r="I21" s="11"/>
      <x:c r="K21" s="8" t="s">
        <x:v>106</x:v>
      </x:c>
      <x:c r="L21" s="19">
        <x:f>IF(COUNT(E12:E72)=0,"",MAX(E12:E72)-MIN(E12:E72))</x:f>
      </x:c>
    </x:row>
    <x:row r="22" spans="1:15">
      <x:c r="A22" s="14">
        <x:v>20</x:v>
      </x:c>
      <x:c r="B22" s="12"/>
      <x:c r="C22" s="16"/>
      <x:c r="D22" s="12"/>
      <x:c r="E22" s="12"/>
      <x:c r="F22" s="16"/>
      <x:c r="G22" s="12"/>
      <x:c r="H22" s="14"/>
      <x:c r="I22" s="11"/>
      <x:c r="K22" s="8" t="s">
        <x:v>107</x:v>
      </x:c>
      <x:c r="L22" s="19">
        <x:f>IF(COUNT(E12:E72)=0,"",(MAX(E12:E72)-MIN(E12:E72))/2)</x:f>
      </x:c>
    </x:row>
    <x:row r="23" spans="1:15">
      <x:c r="A23" s="14">
        <x:v>22</x:v>
      </x:c>
      <x:c r="B23" s="12"/>
      <x:c r="C23" s="16"/>
      <x:c r="D23" s="12"/>
      <x:c r="E23" s="12"/>
      <x:c r="F23" s="16"/>
      <x:c r="G23" s="12"/>
      <x:c r="H23" s="14"/>
      <x:c r="I23" s="11"/>
      <x:c r="K23" s="8" t="s">
        <x:v>108</x:v>
      </x:c>
      <x:c r="L23" s="20">
        <x:f>IF(COUNT(E12:E72)&lt;2,"",STDEV(E12:E72))</x:f>
      </x:c>
    </x:row>
    <x:row r="24" spans="1:15">
      <x:c r="A24" s="14">
        <x:v>24</x:v>
      </x:c>
      <x:c r="B24" s="12"/>
      <x:c r="C24" s="16"/>
      <x:c r="D24" s="12"/>
      <x:c r="E24" s="12"/>
      <x:c r="F24" s="16"/>
      <x:c r="G24" s="12"/>
      <x:c r="H24" s="14"/>
      <x:c r="I24" s="11"/>
      <x:c r="K24" s="8" t="s">
        <x:v>109</x:v>
      </x:c>
      <x:c r="L24" s="19">
        <x:f>IF(COUNT(F12:F72)=0,"",MAX(F12:F72)-MIN(F12:F72))</x:f>
      </x:c>
    </x:row>
    <x:row r="25" spans="1:15">
      <x:c r="A25" s="14">
        <x:v>26</x:v>
      </x:c>
      <x:c r="B25" s="12"/>
      <x:c r="C25" s="16"/>
      <x:c r="D25" s="12"/>
      <x:c r="E25" s="12"/>
      <x:c r="F25" s="16"/>
      <x:c r="G25" s="12"/>
      <x:c r="H25" s="14"/>
      <x:c r="I25" s="11"/>
      <x:c r="K25" s="8" t="s">
        <x:v>110</x:v>
      </x:c>
      <x:c r="L25" s="19">
        <x:f>IF(OR(COUNT(F12:F72)=0,$B$6=""),"",AVERAGE(F12:F72)-$B$6)</x:f>
      </x:c>
    </x:row>
    <x:row r="26" spans="1:15">
      <x:c r="A26" s="14">
        <x:v>28</x:v>
      </x:c>
      <x:c r="B26" s="12"/>
      <x:c r="C26" s="16"/>
      <x:c r="D26" s="12"/>
      <x:c r="E26" s="12"/>
      <x:c r="F26" s="16"/>
      <x:c r="G26" s="12"/>
      <x:c r="H26" s="14"/>
      <x:c r="I26" s="11"/>
      <x:c r="K26" s="8" t="s">
        <x:v>64</x:v>
      </x:c>
      <x:c r="L26" s="18">
        <x:f>IF(COUNT(G12:G72)=0,"",AVERAGE(G12:G72))</x:f>
      </x:c>
    </x:row>
    <x:row r="27" spans="1:15">
      <x:c r="A27" s="14">
        <x:v>30</x:v>
      </x:c>
      <x:c r="B27" s="12"/>
      <x:c r="C27" s="16"/>
      <x:c r="D27" s="12"/>
      <x:c r="E27" s="12"/>
      <x:c r="F27" s="16"/>
      <x:c r="G27" s="12"/>
      <x:c r="H27" s="14"/>
      <x:c r="I27" s="11"/>
    </x:row>
    <x:row r="28" spans="1:15">
      <x:c r="A28" s="14">
        <x:v>32</x:v>
      </x:c>
      <x:c r="B28" s="12"/>
      <x:c r="C28" s="16"/>
      <x:c r="D28" s="12"/>
      <x:c r="E28" s="12"/>
      <x:c r="F28" s="16"/>
      <x:c r="G28" s="12"/>
      <x:c r="H28" s="14"/>
      <x:c r="I28" s="11"/>
      <x:c r="K28" s="8" t="s">
        <x:v>111</x:v>
      </x:c>
      <x:c r="L28" s="17">
        <x:f>IF(COUNT(H12:H72)=0,"",SUM(H12:H72))</x:f>
      </x:c>
    </x:row>
    <x:row r="29" spans="1:15">
      <x:c r="A29" s="14">
        <x:v>34</x:v>
      </x:c>
      <x:c r="B29" s="12"/>
      <x:c r="C29" s="16"/>
      <x:c r="D29" s="12"/>
      <x:c r="E29" s="12"/>
      <x:c r="F29" s="16"/>
      <x:c r="G29" s="12"/>
      <x:c r="H29" s="14"/>
      <x:c r="I29" s="11"/>
    </x:row>
    <x:row r="30" spans="1:15">
      <x:c r="A30" s="14">
        <x:v>36</x:v>
      </x:c>
      <x:c r="B30" s="12"/>
      <x:c r="C30" s="16"/>
      <x:c r="D30" s="12"/>
      <x:c r="E30" s="12"/>
      <x:c r="F30" s="16"/>
      <x:c r="G30" s="12"/>
      <x:c r="H30" s="14"/>
      <x:c r="I30" s="11"/>
    </x:row>
    <x:row r="31" spans="1:15">
      <x:c r="A31" s="14">
        <x:v>38</x:v>
      </x:c>
      <x:c r="B31" s="12"/>
      <x:c r="C31" s="16"/>
      <x:c r="D31" s="12"/>
      <x:c r="E31" s="12"/>
      <x:c r="F31" s="16"/>
      <x:c r="G31" s="12"/>
      <x:c r="H31" s="14"/>
      <x:c r="I31" s="11"/>
    </x:row>
    <x:row r="32" spans="1:15">
      <x:c r="A32" s="14">
        <x:v>40</x:v>
      </x:c>
      <x:c r="B32" s="12"/>
      <x:c r="C32" s="16"/>
      <x:c r="D32" s="12"/>
      <x:c r="E32" s="12"/>
      <x:c r="F32" s="16"/>
      <x:c r="G32" s="12"/>
      <x:c r="H32" s="14"/>
      <x:c r="I32" s="11"/>
    </x:row>
    <x:row r="33" spans="1:15">
      <x:c r="A33" s="14">
        <x:v>42</x:v>
      </x:c>
      <x:c r="B33" s="12"/>
      <x:c r="C33" s="16"/>
      <x:c r="D33" s="12"/>
      <x:c r="E33" s="12"/>
      <x:c r="F33" s="16"/>
      <x:c r="G33" s="12"/>
      <x:c r="H33" s="14"/>
      <x:c r="I33" s="11"/>
    </x:row>
    <x:row r="34" spans="1:15">
      <x:c r="A34" s="14">
        <x:v>44</x:v>
      </x:c>
      <x:c r="B34" s="12"/>
      <x:c r="C34" s="16"/>
      <x:c r="D34" s="12"/>
      <x:c r="E34" s="12"/>
      <x:c r="F34" s="16"/>
      <x:c r="G34" s="12"/>
      <x:c r="H34" s="14"/>
      <x:c r="I34" s="11"/>
    </x:row>
    <x:row r="35" spans="1:15">
      <x:c r="A35" s="14">
        <x:v>46</x:v>
      </x:c>
      <x:c r="B35" s="12"/>
      <x:c r="C35" s="16"/>
      <x:c r="D35" s="12"/>
      <x:c r="E35" s="12"/>
      <x:c r="F35" s="16"/>
      <x:c r="G35" s="12"/>
      <x:c r="H35" s="14"/>
      <x:c r="I35" s="11"/>
    </x:row>
    <x:row r="36" spans="1:15">
      <x:c r="A36" s="14">
        <x:v>48</x:v>
      </x:c>
      <x:c r="B36" s="12"/>
      <x:c r="C36" s="16"/>
      <x:c r="D36" s="12"/>
      <x:c r="E36" s="12"/>
      <x:c r="F36" s="16"/>
      <x:c r="G36" s="12"/>
      <x:c r="H36" s="14"/>
      <x:c r="I36" s="11"/>
    </x:row>
    <x:row r="37" spans="1:15">
      <x:c r="A37" s="14">
        <x:v>50</x:v>
      </x:c>
      <x:c r="B37" s="12"/>
      <x:c r="C37" s="16"/>
      <x:c r="D37" s="12"/>
      <x:c r="E37" s="12"/>
      <x:c r="F37" s="16"/>
      <x:c r="G37" s="12"/>
      <x:c r="H37" s="14"/>
      <x:c r="I37" s="11"/>
    </x:row>
    <x:row r="38" spans="1:15">
      <x:c r="A38" s="14">
        <x:v>52</x:v>
      </x:c>
      <x:c r="B38" s="12"/>
      <x:c r="C38" s="16"/>
      <x:c r="D38" s="12"/>
      <x:c r="E38" s="12"/>
      <x:c r="F38" s="16"/>
      <x:c r="G38" s="12"/>
      <x:c r="H38" s="14"/>
      <x:c r="I38" s="11"/>
    </x:row>
    <x:row r="39" spans="1:15">
      <x:c r="A39" s="14">
        <x:v>54</x:v>
      </x:c>
      <x:c r="B39" s="12"/>
      <x:c r="C39" s="16"/>
      <x:c r="D39" s="12"/>
      <x:c r="E39" s="12"/>
      <x:c r="F39" s="16"/>
      <x:c r="G39" s="12"/>
      <x:c r="H39" s="14"/>
      <x:c r="I39" s="11"/>
    </x:row>
    <x:row r="40" spans="1:15">
      <x:c r="A40" s="14">
        <x:v>56</x:v>
      </x:c>
      <x:c r="B40" s="12"/>
      <x:c r="C40" s="16"/>
      <x:c r="D40" s="12"/>
      <x:c r="E40" s="12"/>
      <x:c r="F40" s="16"/>
      <x:c r="G40" s="12"/>
      <x:c r="H40" s="14"/>
      <x:c r="I40" s="11"/>
    </x:row>
    <x:row r="41" spans="1:15">
      <x:c r="A41" s="14">
        <x:v>58</x:v>
      </x:c>
      <x:c r="B41" s="12"/>
      <x:c r="C41" s="16"/>
      <x:c r="D41" s="12"/>
      <x:c r="E41" s="12"/>
      <x:c r="F41" s="16"/>
      <x:c r="G41" s="12"/>
      <x:c r="H41" s="14"/>
      <x:c r="I41" s="11"/>
    </x:row>
    <x:row r="42" spans="1:15">
      <x:c r="A42" s="14">
        <x:v>60</x:v>
      </x:c>
      <x:c r="B42" s="12"/>
      <x:c r="C42" s="16"/>
      <x:c r="D42" s="12"/>
      <x:c r="E42" s="12"/>
      <x:c r="F42" s="16"/>
      <x:c r="G42" s="12"/>
      <x:c r="H42" s="14"/>
      <x:c r="I42" s="11"/>
    </x:row>
    <x:row r="43" spans="1:15">
      <x:c r="A43" s="14">
        <x:v>62</x:v>
      </x:c>
      <x:c r="B43" s="12"/>
      <x:c r="C43" s="16"/>
      <x:c r="D43" s="12"/>
      <x:c r="E43" s="12"/>
      <x:c r="F43" s="16"/>
      <x:c r="G43" s="12"/>
      <x:c r="H43" s="14"/>
      <x:c r="I43" s="11"/>
    </x:row>
    <x:row r="44" spans="1:15">
      <x:c r="A44" s="14">
        <x:v>64</x:v>
      </x:c>
      <x:c r="B44" s="12"/>
      <x:c r="C44" s="16"/>
      <x:c r="D44" s="12"/>
      <x:c r="E44" s="12"/>
      <x:c r="F44" s="16"/>
      <x:c r="G44" s="12"/>
      <x:c r="H44" s="14"/>
      <x:c r="I44" s="11"/>
    </x:row>
    <x:row r="45" spans="1:15">
      <x:c r="A45" s="14">
        <x:v>66</x:v>
      </x:c>
      <x:c r="B45" s="12"/>
      <x:c r="C45" s="16"/>
      <x:c r="D45" s="12"/>
      <x:c r="E45" s="12"/>
      <x:c r="F45" s="16"/>
      <x:c r="G45" s="12"/>
      <x:c r="H45" s="14"/>
      <x:c r="I45" s="11"/>
    </x:row>
    <x:row r="46" spans="1:15">
      <x:c r="A46" s="14">
        <x:v>68</x:v>
      </x:c>
      <x:c r="B46" s="12"/>
      <x:c r="C46" s="16"/>
      <x:c r="D46" s="12"/>
      <x:c r="E46" s="12"/>
      <x:c r="F46" s="16"/>
      <x:c r="G46" s="12"/>
      <x:c r="H46" s="14"/>
      <x:c r="I46" s="11"/>
    </x:row>
    <x:row r="47" spans="1:15">
      <x:c r="A47" s="14">
        <x:v>70</x:v>
      </x:c>
      <x:c r="B47" s="12"/>
      <x:c r="C47" s="16"/>
      <x:c r="D47" s="12"/>
      <x:c r="E47" s="12"/>
      <x:c r="F47" s="16"/>
      <x:c r="G47" s="12"/>
      <x:c r="H47" s="14"/>
      <x:c r="I47" s="11"/>
    </x:row>
    <x:row r="48" spans="1:15">
      <x:c r="A48" s="14">
        <x:v>72</x:v>
      </x:c>
      <x:c r="B48" s="12"/>
      <x:c r="C48" s="16"/>
      <x:c r="D48" s="12"/>
      <x:c r="E48" s="12"/>
      <x:c r="F48" s="16"/>
      <x:c r="G48" s="12"/>
      <x:c r="H48" s="14"/>
      <x:c r="I48" s="11"/>
    </x:row>
    <x:row r="49" spans="1:15">
      <x:c r="A49" s="14">
        <x:v>74</x:v>
      </x:c>
      <x:c r="B49" s="12"/>
      <x:c r="C49" s="16"/>
      <x:c r="D49" s="12"/>
      <x:c r="E49" s="12"/>
      <x:c r="F49" s="16"/>
      <x:c r="G49" s="12"/>
      <x:c r="H49" s="14"/>
      <x:c r="I49" s="11"/>
    </x:row>
    <x:row r="50" spans="1:15">
      <x:c r="A50" s="14">
        <x:v>76</x:v>
      </x:c>
      <x:c r="B50" s="12"/>
      <x:c r="C50" s="16"/>
      <x:c r="D50" s="12"/>
      <x:c r="E50" s="12"/>
      <x:c r="F50" s="16"/>
      <x:c r="G50" s="12"/>
      <x:c r="H50" s="14"/>
      <x:c r="I50" s="11"/>
    </x:row>
    <x:row r="51" spans="1:15">
      <x:c r="A51" s="14">
        <x:v>78</x:v>
      </x:c>
      <x:c r="B51" s="12"/>
      <x:c r="C51" s="16"/>
      <x:c r="D51" s="12"/>
      <x:c r="E51" s="12"/>
      <x:c r="F51" s="16"/>
      <x:c r="G51" s="12"/>
      <x:c r="H51" s="14"/>
      <x:c r="I51" s="11"/>
    </x:row>
    <x:row r="52" spans="1:15">
      <x:c r="A52" s="14">
        <x:v>80</x:v>
      </x:c>
      <x:c r="B52" s="12"/>
      <x:c r="C52" s="16"/>
      <x:c r="D52" s="12"/>
      <x:c r="E52" s="12"/>
      <x:c r="F52" s="16"/>
      <x:c r="G52" s="12"/>
      <x:c r="H52" s="14"/>
      <x:c r="I52" s="11"/>
    </x:row>
    <x:row r="53" spans="1:15">
      <x:c r="A53" s="14">
        <x:v>82</x:v>
      </x:c>
      <x:c r="B53" s="12"/>
      <x:c r="C53" s="16"/>
      <x:c r="D53" s="12"/>
      <x:c r="E53" s="12"/>
      <x:c r="F53" s="16"/>
      <x:c r="G53" s="12"/>
      <x:c r="H53" s="14"/>
      <x:c r="I53" s="11"/>
    </x:row>
    <x:row r="54" spans="1:15">
      <x:c r="A54" s="14">
        <x:v>84</x:v>
      </x:c>
      <x:c r="B54" s="12"/>
      <x:c r="C54" s="16"/>
      <x:c r="D54" s="12"/>
      <x:c r="E54" s="12"/>
      <x:c r="F54" s="16"/>
      <x:c r="G54" s="12"/>
      <x:c r="H54" s="14"/>
      <x:c r="I54" s="11"/>
    </x:row>
    <x:row r="55" spans="1:15">
      <x:c r="A55" s="14">
        <x:v>86</x:v>
      </x:c>
      <x:c r="B55" s="12"/>
      <x:c r="C55" s="16"/>
      <x:c r="D55" s="12"/>
      <x:c r="E55" s="12"/>
      <x:c r="F55" s="16"/>
      <x:c r="G55" s="12"/>
      <x:c r="H55" s="14"/>
      <x:c r="I55" s="11"/>
    </x:row>
    <x:row r="56" spans="1:15">
      <x:c r="A56" s="14">
        <x:v>88</x:v>
      </x:c>
      <x:c r="B56" s="12"/>
      <x:c r="C56" s="16"/>
      <x:c r="D56" s="12"/>
      <x:c r="E56" s="12"/>
      <x:c r="F56" s="16"/>
      <x:c r="G56" s="12"/>
      <x:c r="H56" s="14"/>
      <x:c r="I56" s="11"/>
    </x:row>
    <x:row r="57" spans="1:15">
      <x:c r="A57" s="14">
        <x:v>90</x:v>
      </x:c>
      <x:c r="B57" s="12"/>
      <x:c r="C57" s="16"/>
      <x:c r="D57" s="12"/>
      <x:c r="E57" s="12"/>
      <x:c r="F57" s="16"/>
      <x:c r="G57" s="12"/>
      <x:c r="H57" s="14"/>
      <x:c r="I57" s="11"/>
    </x:row>
    <x:row r="58" spans="1:15">
      <x:c r="A58" s="14">
        <x:v>92</x:v>
      </x:c>
      <x:c r="B58" s="12"/>
      <x:c r="C58" s="16"/>
      <x:c r="D58" s="12"/>
      <x:c r="E58" s="12"/>
      <x:c r="F58" s="16"/>
      <x:c r="G58" s="12"/>
      <x:c r="H58" s="14"/>
      <x:c r="I58" s="11"/>
    </x:row>
    <x:row r="59" spans="1:15">
      <x:c r="A59" s="14">
        <x:v>94</x:v>
      </x:c>
      <x:c r="B59" s="12"/>
      <x:c r="C59" s="16"/>
      <x:c r="D59" s="12"/>
      <x:c r="E59" s="12"/>
      <x:c r="F59" s="16"/>
      <x:c r="G59" s="12"/>
      <x:c r="H59" s="14"/>
      <x:c r="I59" s="11"/>
    </x:row>
    <x:row r="60" spans="1:15">
      <x:c r="A60" s="14">
        <x:v>96</x:v>
      </x:c>
      <x:c r="B60" s="12"/>
      <x:c r="C60" s="16"/>
      <x:c r="D60" s="12"/>
      <x:c r="E60" s="12"/>
      <x:c r="F60" s="16"/>
      <x:c r="G60" s="12"/>
      <x:c r="H60" s="14"/>
      <x:c r="I60" s="11"/>
    </x:row>
    <x:row r="61" spans="1:15">
      <x:c r="A61" s="14">
        <x:v>98</x:v>
      </x:c>
      <x:c r="B61" s="12"/>
      <x:c r="C61" s="16"/>
      <x:c r="D61" s="12"/>
      <x:c r="E61" s="12"/>
      <x:c r="F61" s="16"/>
      <x:c r="G61" s="12"/>
      <x:c r="H61" s="14"/>
      <x:c r="I61" s="11"/>
    </x:row>
    <x:row r="62" spans="1:15">
      <x:c r="A62" s="14">
        <x:v>100</x:v>
      </x:c>
      <x:c r="B62" s="12"/>
      <x:c r="C62" s="16"/>
      <x:c r="D62" s="12"/>
      <x:c r="E62" s="12"/>
      <x:c r="F62" s="16"/>
      <x:c r="G62" s="12"/>
      <x:c r="H62" s="14"/>
      <x:c r="I62" s="11"/>
    </x:row>
    <x:row r="63" spans="1:15">
      <x:c r="A63" s="14">
        <x:v>102</x:v>
      </x:c>
      <x:c r="B63" s="12"/>
      <x:c r="C63" s="16"/>
      <x:c r="D63" s="12"/>
      <x:c r="E63" s="12"/>
      <x:c r="F63" s="16"/>
      <x:c r="G63" s="12"/>
      <x:c r="H63" s="14"/>
      <x:c r="I63" s="11"/>
    </x:row>
    <x:row r="64" spans="1:15">
      <x:c r="A64" s="14">
        <x:v>104</x:v>
      </x:c>
      <x:c r="B64" s="12"/>
      <x:c r="C64" s="16"/>
      <x:c r="D64" s="12"/>
      <x:c r="E64" s="12"/>
      <x:c r="F64" s="16"/>
      <x:c r="G64" s="12"/>
      <x:c r="H64" s="14"/>
      <x:c r="I64" s="11"/>
    </x:row>
    <x:row r="65" spans="1:15">
      <x:c r="A65" s="14">
        <x:v>106</x:v>
      </x:c>
      <x:c r="B65" s="12"/>
      <x:c r="C65" s="16"/>
      <x:c r="D65" s="12"/>
      <x:c r="E65" s="12"/>
      <x:c r="F65" s="16"/>
      <x:c r="G65" s="12"/>
      <x:c r="H65" s="14"/>
      <x:c r="I65" s="11"/>
    </x:row>
    <x:row r="66" spans="1:15">
      <x:c r="A66" s="14">
        <x:v>108</x:v>
      </x:c>
      <x:c r="B66" s="12"/>
      <x:c r="C66" s="16"/>
      <x:c r="D66" s="12"/>
      <x:c r="E66" s="12"/>
      <x:c r="F66" s="16"/>
      <x:c r="G66" s="12"/>
      <x:c r="H66" s="14"/>
      <x:c r="I66" s="11"/>
    </x:row>
    <x:row r="67" spans="1:15">
      <x:c r="A67" s="14">
        <x:v>110</x:v>
      </x:c>
      <x:c r="B67" s="12"/>
      <x:c r="C67" s="16"/>
      <x:c r="D67" s="12"/>
      <x:c r="E67" s="12"/>
      <x:c r="F67" s="16"/>
      <x:c r="G67" s="12"/>
      <x:c r="H67" s="14"/>
      <x:c r="I67" s="11"/>
    </x:row>
    <x:row r="68" spans="1:15">
      <x:c r="A68" s="14">
        <x:v>112</x:v>
      </x:c>
      <x:c r="B68" s="12"/>
      <x:c r="C68" s="16"/>
      <x:c r="D68" s="12"/>
      <x:c r="E68" s="12"/>
      <x:c r="F68" s="16"/>
      <x:c r="G68" s="12"/>
      <x:c r="H68" s="14"/>
      <x:c r="I68" s="11"/>
    </x:row>
    <x:row r="69" spans="1:15">
      <x:c r="A69" s="14">
        <x:v>114</x:v>
      </x:c>
      <x:c r="B69" s="12"/>
      <x:c r="C69" s="16"/>
      <x:c r="D69" s="12"/>
      <x:c r="E69" s="12"/>
      <x:c r="F69" s="16"/>
      <x:c r="G69" s="12"/>
      <x:c r="H69" s="14"/>
      <x:c r="I69" s="11"/>
    </x:row>
    <x:row r="70" spans="1:15">
      <x:c r="A70" s="14">
        <x:v>116</x:v>
      </x:c>
      <x:c r="B70" s="12"/>
      <x:c r="C70" s="16"/>
      <x:c r="D70" s="12"/>
      <x:c r="E70" s="12"/>
      <x:c r="F70" s="16"/>
      <x:c r="G70" s="12"/>
      <x:c r="H70" s="14"/>
      <x:c r="I70" s="11"/>
    </x:row>
    <x:row r="71" spans="1:15">
      <x:c r="A71" s="14">
        <x:v>118</x:v>
      </x:c>
      <x:c r="B71" s="12"/>
      <x:c r="C71" s="16"/>
      <x:c r="D71" s="12"/>
      <x:c r="E71" s="12"/>
      <x:c r="F71" s="16"/>
      <x:c r="G71" s="12"/>
      <x:c r="H71" s="14"/>
      <x:c r="I71" s="11"/>
    </x:row>
    <x:row r="72" spans="1:15">
      <x:c r="A72" s="14">
        <x:v>120</x:v>
      </x:c>
      <x:c r="B72" s="12"/>
      <x:c r="C72" s="16"/>
      <x:c r="D72" s="12"/>
      <x:c r="E72" s="12"/>
      <x:c r="F72" s="16"/>
      <x:c r="G72" s="12"/>
      <x:c r="H72" s="14"/>
      <x:c r="I72" s="11"/>
    </x:row>
  </x:sheetData>
  <x:mergeCells count="11">
    <x:mergeCell ref="B4:C4"/>
    <x:mergeCell ref="E4:F4"/>
    <x:mergeCell ref="B5:C5"/>
    <x:mergeCell ref="E5:F5"/>
    <x:mergeCell ref="B6:C6"/>
    <x:mergeCell ref="E6:F6"/>
    <x:mergeCell ref="B7:C7"/>
    <x:mergeCell ref="E7:F7"/>
    <x:mergeCell ref="B8:C8"/>
    <x:mergeCell ref="E8:F8"/>
    <x:mergeCell ref="B9:C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28"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72"/>
  <x:sheetViews>
    <x:sheetView workbookViewId="0">
      <x:pane xSplit="1" ySplit="11" topLeftCell="B12" activePane="bottomRight" state="frozenSplit"/>
    </x:sheetView>
  </x:sheetViews>
  <x:sheetFormatPr defaultRowHeight="15"/>
  <x:cols>
    <x:col min="1" max="1" width="10.710625" style="0" customWidth="1"/>
    <x:col min="2" max="3" width="11.710625" style="0" customWidth="1"/>
    <x:col min="4" max="4" width="10.710625" style="0" customWidth="1"/>
    <x:col min="5" max="6" width="11.710625" style="0" customWidth="1"/>
    <x:col min="7" max="7" width="10.710625" style="0" customWidth="1"/>
    <x:col min="8" max="8" width="12.710625" style="0" customWidth="1"/>
    <x:col min="9" max="9" width="22.710625" style="0" customWidth="1"/>
    <x:col min="10" max="10" width="9.140625" style="0" customWidth="1"/>
    <x:col min="11" max="11" width="36.710625" style="0" customWidth="1"/>
    <x:col min="12" max="12" width="14.710625" style="0" customWidth="1"/>
    <x:col min="13" max="15" width="9.140625" style="0" customWidth="1"/>
  </x:cols>
  <x:sheetData>
    <x:row r="1" spans="1:15">
      <x:c r="A1" s="1" t="s">
        <x:v>112</x:v>
      </x:c>
    </x:row>
    <x:row r="2" spans="1:15">
      <x:c r="A2" s="2" t="s">
        <x:v>89</x:v>
      </x:c>
    </x:row>
    <x:row r="4" spans="1:15">
      <x:c r="A4" s="8" t="s">
        <x:v>25</x:v>
      </x:c>
      <x:c r="B4" s="9"/>
      <x:c r="C4" s="10"/>
      <x:c r="D4" s="8" t="s">
        <x:v>26</x:v>
      </x:c>
      <x:c r="E4" s="11"/>
      <x:c r="F4" s="10"/>
    </x:row>
    <x:row r="5" spans="1:15">
      <x:c r="A5" s="8" t="s">
        <x:v>27</x:v>
      </x:c>
      <x:c r="B5" s="12"/>
      <x:c r="C5" s="10"/>
      <x:c r="D5" s="8" t="s">
        <x:v>28</x:v>
      </x:c>
      <x:c r="E5" s="12"/>
      <x:c r="F5" s="10"/>
    </x:row>
    <x:row r="6" spans="1:15">
      <x:c r="A6" s="8" t="s">
        <x:v>90</x:v>
      </x:c>
      <x:c r="B6" s="12"/>
      <x:c r="C6" s="10"/>
      <x:c r="D6" s="8" t="s">
        <x:v>91</x:v>
      </x:c>
      <x:c r="E6" s="12"/>
      <x:c r="F6" s="10"/>
    </x:row>
    <x:row r="7" spans="1:15">
      <x:c r="A7" s="8" t="s">
        <x:v>92</x:v>
      </x:c>
      <x:c r="B7" s="12"/>
      <x:c r="C7" s="10"/>
      <x:c r="D7" s="8" t="s">
        <x:v>93</x:v>
      </x:c>
      <x:c r="E7" s="12"/>
      <x:c r="F7" s="10"/>
    </x:row>
    <x:row r="8" spans="1:15">
      <x:c r="A8" s="8" t="s">
        <x:v>35</x:v>
      </x:c>
      <x:c r="B8" s="11"/>
      <x:c r="C8" s="10"/>
      <x:c r="D8" s="8" t="s">
        <x:v>36</x:v>
      </x:c>
      <x:c r="E8" s="11"/>
      <x:c r="F8" s="10"/>
    </x:row>
    <x:row r="9" spans="1:15">
      <x:c r="A9" s="8" t="s">
        <x:v>37</x:v>
      </x:c>
      <x:c r="B9" s="11"/>
      <x:c r="C9" s="10"/>
    </x:row>
    <x:row r="11" spans="1:15">
      <x:c r="A11" s="13" t="s">
        <x:v>38</x:v>
      </x:c>
      <x:c r="B11" s="13" t="s">
        <x:v>94</x:v>
      </x:c>
      <x:c r="C11" s="13" t="s">
        <x:v>95</x:v>
      </x:c>
      <x:c r="D11" s="13" t="s">
        <x:v>40</x:v>
      </x:c>
      <x:c r="E11" s="13" t="s">
        <x:v>96</x:v>
      </x:c>
      <x:c r="F11" s="13" t="s">
        <x:v>97</x:v>
      </x:c>
      <x:c r="G11" s="13" t="s">
        <x:v>45</x:v>
      </x:c>
      <x:c r="H11" s="13" t="s">
        <x:v>98</x:v>
      </x:c>
      <x:c r="I11" s="13" t="s">
        <x:v>37</x:v>
      </x:c>
      <x:c r="K11" s="13" t="s">
        <x:v>51</x:v>
      </x:c>
      <x:c r="L11" s="13" t="s">
        <x:v>52</x:v>
      </x:c>
    </x:row>
    <x:row r="12" spans="1:15">
      <x:c r="A12" s="14">
        <x:v>0</x:v>
      </x:c>
      <x:c r="B12" s="12"/>
      <x:c r="C12" s="16"/>
      <x:c r="D12" s="12"/>
      <x:c r="E12" s="12"/>
      <x:c r="F12" s="16"/>
      <x:c r="G12" s="12"/>
      <x:c r="H12" s="14"/>
      <x:c r="I12" s="11"/>
      <x:c r="K12" s="8" t="s">
        <x:v>99</x:v>
      </x:c>
      <x:c r="L12" s="19">
        <x:f>IF(COUNT(B12:B72)=0,"",AVERAGE(B12:B72))</x:f>
      </x:c>
    </x:row>
    <x:row r="13" spans="1:15">
      <x:c r="A13" s="14">
        <x:v>2</x:v>
      </x:c>
      <x:c r="B13" s="12"/>
      <x:c r="C13" s="16"/>
      <x:c r="D13" s="12"/>
      <x:c r="E13" s="12"/>
      <x:c r="F13" s="16"/>
      <x:c r="G13" s="12"/>
      <x:c r="H13" s="14"/>
      <x:c r="I13" s="11"/>
      <x:c r="K13" s="8" t="s">
        <x:v>100</x:v>
      </x:c>
      <x:c r="L13" s="19">
        <x:f>IF(COUNT(B12:B72)=0,"",MAX(B12:B72)-MIN(B12:B72))</x:f>
      </x:c>
    </x:row>
    <x:row r="14" spans="1:15">
      <x:c r="A14" s="14">
        <x:v>4</x:v>
      </x:c>
      <x:c r="B14" s="12"/>
      <x:c r="C14" s="16"/>
      <x:c r="D14" s="12"/>
      <x:c r="E14" s="12"/>
      <x:c r="F14" s="16"/>
      <x:c r="G14" s="12"/>
      <x:c r="H14" s="14"/>
      <x:c r="I14" s="11"/>
      <x:c r="K14" s="8" t="s">
        <x:v>101</x:v>
      </x:c>
      <x:c r="L14" s="19">
        <x:f>IF(COUNT(B12:B72)=0,"",(MAX(B12:B72)-MIN(B12:B72))/2)</x:f>
      </x:c>
    </x:row>
    <x:row r="15" spans="1:15">
      <x:c r="A15" s="14">
        <x:v>6</x:v>
      </x:c>
      <x:c r="B15" s="12"/>
      <x:c r="C15" s="16"/>
      <x:c r="D15" s="12"/>
      <x:c r="E15" s="12"/>
      <x:c r="F15" s="16"/>
      <x:c r="G15" s="12"/>
      <x:c r="H15" s="14"/>
      <x:c r="I15" s="11"/>
      <x:c r="K15" s="8" t="s">
        <x:v>102</x:v>
      </x:c>
      <x:c r="L15" s="20">
        <x:f>IF(COUNT(B12:B72)&lt;2,"",STDEV(B12:B72))</x:f>
      </x:c>
    </x:row>
    <x:row r="16" spans="1:15">
      <x:c r="A16" s="14">
        <x:v>8</x:v>
      </x:c>
      <x:c r="B16" s="12"/>
      <x:c r="C16" s="16"/>
      <x:c r="D16" s="12"/>
      <x:c r="E16" s="12"/>
      <x:c r="F16" s="16"/>
      <x:c r="G16" s="12"/>
      <x:c r="H16" s="14"/>
      <x:c r="I16" s="11"/>
      <x:c r="K16" s="8" t="s">
        <x:v>103</x:v>
      </x:c>
      <x:c r="L16" s="19">
        <x:f>IF(COUNT(C12:C72)=0,"",MAX(C12:C72)-MIN(C12:C72))</x:f>
      </x:c>
    </x:row>
    <x:row r="17" spans="1:15">
      <x:c r="A17" s="14">
        <x:v>10</x:v>
      </x:c>
      <x:c r="B17" s="12"/>
      <x:c r="C17" s="16"/>
      <x:c r="D17" s="12"/>
      <x:c r="E17" s="12"/>
      <x:c r="F17" s="16"/>
      <x:c r="G17" s="12"/>
      <x:c r="H17" s="14"/>
      <x:c r="I17" s="11"/>
      <x:c r="K17" s="8" t="s">
        <x:v>104</x:v>
      </x:c>
      <x:c r="L17" s="19">
        <x:f>IF(OR(COUNT(C12:C72)=0,$B$6=""),"",AVERAGE(C12:C72)-$B$6)</x:f>
      </x:c>
    </x:row>
    <x:row r="18" spans="1:15">
      <x:c r="A18" s="14">
        <x:v>12</x:v>
      </x:c>
      <x:c r="B18" s="12"/>
      <x:c r="C18" s="16"/>
      <x:c r="D18" s="12"/>
      <x:c r="E18" s="12"/>
      <x:c r="F18" s="16"/>
      <x:c r="G18" s="12"/>
      <x:c r="H18" s="14"/>
      <x:c r="I18" s="11"/>
      <x:c r="K18" s="8" t="s">
        <x:v>57</x:v>
      </x:c>
      <x:c r="L18" s="18">
        <x:f>IF(COUNT(D12:D72)=0,"",AVERAGE(D12:D72))</x:f>
      </x:c>
    </x:row>
    <x:row r="19" spans="1:15">
      <x:c r="A19" s="14">
        <x:v>14</x:v>
      </x:c>
      <x:c r="B19" s="12"/>
      <x:c r="C19" s="16"/>
      <x:c r="D19" s="12"/>
      <x:c r="E19" s="12"/>
      <x:c r="F19" s="16"/>
      <x:c r="G19" s="12"/>
      <x:c r="H19" s="14"/>
      <x:c r="I19" s="11"/>
    </x:row>
    <x:row r="20" spans="1:15">
      <x:c r="A20" s="14">
        <x:v>16</x:v>
      </x:c>
      <x:c r="B20" s="12"/>
      <x:c r="C20" s="16"/>
      <x:c r="D20" s="12"/>
      <x:c r="E20" s="12"/>
      <x:c r="F20" s="16"/>
      <x:c r="G20" s="12"/>
      <x:c r="H20" s="14"/>
      <x:c r="I20" s="11"/>
      <x:c r="K20" s="8" t="s">
        <x:v>105</x:v>
      </x:c>
      <x:c r="L20" s="19">
        <x:f>IF(COUNT(E12:E72)=0,"",AVERAGE(E12:E72))</x:f>
      </x:c>
    </x:row>
    <x:row r="21" spans="1:15">
      <x:c r="A21" s="14">
        <x:v>18</x:v>
      </x:c>
      <x:c r="B21" s="12"/>
      <x:c r="C21" s="16"/>
      <x:c r="D21" s="12"/>
      <x:c r="E21" s="12"/>
      <x:c r="F21" s="16"/>
      <x:c r="G21" s="12"/>
      <x:c r="H21" s="14"/>
      <x:c r="I21" s="11"/>
      <x:c r="K21" s="8" t="s">
        <x:v>106</x:v>
      </x:c>
      <x:c r="L21" s="19">
        <x:f>IF(COUNT(E12:E72)=0,"",MAX(E12:E72)-MIN(E12:E72))</x:f>
      </x:c>
    </x:row>
    <x:row r="22" spans="1:15">
      <x:c r="A22" s="14">
        <x:v>20</x:v>
      </x:c>
      <x:c r="B22" s="12"/>
      <x:c r="C22" s="16"/>
      <x:c r="D22" s="12"/>
      <x:c r="E22" s="12"/>
      <x:c r="F22" s="16"/>
      <x:c r="G22" s="12"/>
      <x:c r="H22" s="14"/>
      <x:c r="I22" s="11"/>
      <x:c r="K22" s="8" t="s">
        <x:v>107</x:v>
      </x:c>
      <x:c r="L22" s="19">
        <x:f>IF(COUNT(E12:E72)=0,"",(MAX(E12:E72)-MIN(E12:E72))/2)</x:f>
      </x:c>
    </x:row>
    <x:row r="23" spans="1:15">
      <x:c r="A23" s="14">
        <x:v>22</x:v>
      </x:c>
      <x:c r="B23" s="12"/>
      <x:c r="C23" s="16"/>
      <x:c r="D23" s="12"/>
      <x:c r="E23" s="12"/>
      <x:c r="F23" s="16"/>
      <x:c r="G23" s="12"/>
      <x:c r="H23" s="14"/>
      <x:c r="I23" s="11"/>
      <x:c r="K23" s="8" t="s">
        <x:v>108</x:v>
      </x:c>
      <x:c r="L23" s="20">
        <x:f>IF(COUNT(E12:E72)&lt;2,"",STDEV(E12:E72))</x:f>
      </x:c>
    </x:row>
    <x:row r="24" spans="1:15">
      <x:c r="A24" s="14">
        <x:v>24</x:v>
      </x:c>
      <x:c r="B24" s="12"/>
      <x:c r="C24" s="16"/>
      <x:c r="D24" s="12"/>
      <x:c r="E24" s="12"/>
      <x:c r="F24" s="16"/>
      <x:c r="G24" s="12"/>
      <x:c r="H24" s="14"/>
      <x:c r="I24" s="11"/>
      <x:c r="K24" s="8" t="s">
        <x:v>109</x:v>
      </x:c>
      <x:c r="L24" s="19">
        <x:f>IF(COUNT(F12:F72)=0,"",MAX(F12:F72)-MIN(F12:F72))</x:f>
      </x:c>
    </x:row>
    <x:row r="25" spans="1:15">
      <x:c r="A25" s="14">
        <x:v>26</x:v>
      </x:c>
      <x:c r="B25" s="12"/>
      <x:c r="C25" s="16"/>
      <x:c r="D25" s="12"/>
      <x:c r="E25" s="12"/>
      <x:c r="F25" s="16"/>
      <x:c r="G25" s="12"/>
      <x:c r="H25" s="14"/>
      <x:c r="I25" s="11"/>
      <x:c r="K25" s="8" t="s">
        <x:v>110</x:v>
      </x:c>
      <x:c r="L25" s="19">
        <x:f>IF(OR(COUNT(F12:F72)=0,$B$6=""),"",AVERAGE(F12:F72)-$B$6)</x:f>
      </x:c>
    </x:row>
    <x:row r="26" spans="1:15">
      <x:c r="A26" s="14">
        <x:v>28</x:v>
      </x:c>
      <x:c r="B26" s="12"/>
      <x:c r="C26" s="16"/>
      <x:c r="D26" s="12"/>
      <x:c r="E26" s="12"/>
      <x:c r="F26" s="16"/>
      <x:c r="G26" s="12"/>
      <x:c r="H26" s="14"/>
      <x:c r="I26" s="11"/>
      <x:c r="K26" s="8" t="s">
        <x:v>64</x:v>
      </x:c>
      <x:c r="L26" s="18">
        <x:f>IF(COUNT(G12:G72)=0,"",AVERAGE(G12:G72))</x:f>
      </x:c>
    </x:row>
    <x:row r="27" spans="1:15">
      <x:c r="A27" s="14">
        <x:v>30</x:v>
      </x:c>
      <x:c r="B27" s="12"/>
      <x:c r="C27" s="16"/>
      <x:c r="D27" s="12"/>
      <x:c r="E27" s="12"/>
      <x:c r="F27" s="16"/>
      <x:c r="G27" s="12"/>
      <x:c r="H27" s="14"/>
      <x:c r="I27" s="11"/>
    </x:row>
    <x:row r="28" spans="1:15">
      <x:c r="A28" s="14">
        <x:v>32</x:v>
      </x:c>
      <x:c r="B28" s="12"/>
      <x:c r="C28" s="16"/>
      <x:c r="D28" s="12"/>
      <x:c r="E28" s="12"/>
      <x:c r="F28" s="16"/>
      <x:c r="G28" s="12"/>
      <x:c r="H28" s="14"/>
      <x:c r="I28" s="11"/>
      <x:c r="K28" s="8" t="s">
        <x:v>111</x:v>
      </x:c>
      <x:c r="L28" s="17">
        <x:f>IF(COUNT(H12:H72)=0,"",SUM(H12:H72))</x:f>
      </x:c>
    </x:row>
    <x:row r="29" spans="1:15">
      <x:c r="A29" s="14">
        <x:v>34</x:v>
      </x:c>
      <x:c r="B29" s="12"/>
      <x:c r="C29" s="16"/>
      <x:c r="D29" s="12"/>
      <x:c r="E29" s="12"/>
      <x:c r="F29" s="16"/>
      <x:c r="G29" s="12"/>
      <x:c r="H29" s="14"/>
      <x:c r="I29" s="11"/>
    </x:row>
    <x:row r="30" spans="1:15">
      <x:c r="A30" s="14">
        <x:v>36</x:v>
      </x:c>
      <x:c r="B30" s="12"/>
      <x:c r="C30" s="16"/>
      <x:c r="D30" s="12"/>
      <x:c r="E30" s="12"/>
      <x:c r="F30" s="16"/>
      <x:c r="G30" s="12"/>
      <x:c r="H30" s="14"/>
      <x:c r="I30" s="11"/>
    </x:row>
    <x:row r="31" spans="1:15">
      <x:c r="A31" s="14">
        <x:v>38</x:v>
      </x:c>
      <x:c r="B31" s="12"/>
      <x:c r="C31" s="16"/>
      <x:c r="D31" s="12"/>
      <x:c r="E31" s="12"/>
      <x:c r="F31" s="16"/>
      <x:c r="G31" s="12"/>
      <x:c r="H31" s="14"/>
      <x:c r="I31" s="11"/>
    </x:row>
    <x:row r="32" spans="1:15">
      <x:c r="A32" s="14">
        <x:v>40</x:v>
      </x:c>
      <x:c r="B32" s="12"/>
      <x:c r="C32" s="16"/>
      <x:c r="D32" s="12"/>
      <x:c r="E32" s="12"/>
      <x:c r="F32" s="16"/>
      <x:c r="G32" s="12"/>
      <x:c r="H32" s="14"/>
      <x:c r="I32" s="11"/>
    </x:row>
    <x:row r="33" spans="1:15">
      <x:c r="A33" s="14">
        <x:v>42</x:v>
      </x:c>
      <x:c r="B33" s="12"/>
      <x:c r="C33" s="16"/>
      <x:c r="D33" s="12"/>
      <x:c r="E33" s="12"/>
      <x:c r="F33" s="16"/>
      <x:c r="G33" s="12"/>
      <x:c r="H33" s="14"/>
      <x:c r="I33" s="11"/>
    </x:row>
    <x:row r="34" spans="1:15">
      <x:c r="A34" s="14">
        <x:v>44</x:v>
      </x:c>
      <x:c r="B34" s="12"/>
      <x:c r="C34" s="16"/>
      <x:c r="D34" s="12"/>
      <x:c r="E34" s="12"/>
      <x:c r="F34" s="16"/>
      <x:c r="G34" s="12"/>
      <x:c r="H34" s="14"/>
      <x:c r="I34" s="11"/>
    </x:row>
    <x:row r="35" spans="1:15">
      <x:c r="A35" s="14">
        <x:v>46</x:v>
      </x:c>
      <x:c r="B35" s="12"/>
      <x:c r="C35" s="16"/>
      <x:c r="D35" s="12"/>
      <x:c r="E35" s="12"/>
      <x:c r="F35" s="16"/>
      <x:c r="G35" s="12"/>
      <x:c r="H35" s="14"/>
      <x:c r="I35" s="11"/>
    </x:row>
    <x:row r="36" spans="1:15">
      <x:c r="A36" s="14">
        <x:v>48</x:v>
      </x:c>
      <x:c r="B36" s="12"/>
      <x:c r="C36" s="16"/>
      <x:c r="D36" s="12"/>
      <x:c r="E36" s="12"/>
      <x:c r="F36" s="16"/>
      <x:c r="G36" s="12"/>
      <x:c r="H36" s="14"/>
      <x:c r="I36" s="11"/>
    </x:row>
    <x:row r="37" spans="1:15">
      <x:c r="A37" s="14">
        <x:v>50</x:v>
      </x:c>
      <x:c r="B37" s="12"/>
      <x:c r="C37" s="16"/>
      <x:c r="D37" s="12"/>
      <x:c r="E37" s="12"/>
      <x:c r="F37" s="16"/>
      <x:c r="G37" s="12"/>
      <x:c r="H37" s="14"/>
      <x:c r="I37" s="11"/>
    </x:row>
    <x:row r="38" spans="1:15">
      <x:c r="A38" s="14">
        <x:v>52</x:v>
      </x:c>
      <x:c r="B38" s="12"/>
      <x:c r="C38" s="16"/>
      <x:c r="D38" s="12"/>
      <x:c r="E38" s="12"/>
      <x:c r="F38" s="16"/>
      <x:c r="G38" s="12"/>
      <x:c r="H38" s="14"/>
      <x:c r="I38" s="11"/>
    </x:row>
    <x:row r="39" spans="1:15">
      <x:c r="A39" s="14">
        <x:v>54</x:v>
      </x:c>
      <x:c r="B39" s="12"/>
      <x:c r="C39" s="16"/>
      <x:c r="D39" s="12"/>
      <x:c r="E39" s="12"/>
      <x:c r="F39" s="16"/>
      <x:c r="G39" s="12"/>
      <x:c r="H39" s="14"/>
      <x:c r="I39" s="11"/>
    </x:row>
    <x:row r="40" spans="1:15">
      <x:c r="A40" s="14">
        <x:v>56</x:v>
      </x:c>
      <x:c r="B40" s="12"/>
      <x:c r="C40" s="16"/>
      <x:c r="D40" s="12"/>
      <x:c r="E40" s="12"/>
      <x:c r="F40" s="16"/>
      <x:c r="G40" s="12"/>
      <x:c r="H40" s="14"/>
      <x:c r="I40" s="11"/>
    </x:row>
    <x:row r="41" spans="1:15">
      <x:c r="A41" s="14">
        <x:v>58</x:v>
      </x:c>
      <x:c r="B41" s="12"/>
      <x:c r="C41" s="16"/>
      <x:c r="D41" s="12"/>
      <x:c r="E41" s="12"/>
      <x:c r="F41" s="16"/>
      <x:c r="G41" s="12"/>
      <x:c r="H41" s="14"/>
      <x:c r="I41" s="11"/>
    </x:row>
    <x:row r="42" spans="1:15">
      <x:c r="A42" s="14">
        <x:v>60</x:v>
      </x:c>
      <x:c r="B42" s="12"/>
      <x:c r="C42" s="16"/>
      <x:c r="D42" s="12"/>
      <x:c r="E42" s="12"/>
      <x:c r="F42" s="16"/>
      <x:c r="G42" s="12"/>
      <x:c r="H42" s="14"/>
      <x:c r="I42" s="11"/>
    </x:row>
    <x:row r="43" spans="1:15">
      <x:c r="A43" s="14">
        <x:v>62</x:v>
      </x:c>
      <x:c r="B43" s="12"/>
      <x:c r="C43" s="16"/>
      <x:c r="D43" s="12"/>
      <x:c r="E43" s="12"/>
      <x:c r="F43" s="16"/>
      <x:c r="G43" s="12"/>
      <x:c r="H43" s="14"/>
      <x:c r="I43" s="11"/>
    </x:row>
    <x:row r="44" spans="1:15">
      <x:c r="A44" s="14">
        <x:v>64</x:v>
      </x:c>
      <x:c r="B44" s="12"/>
      <x:c r="C44" s="16"/>
      <x:c r="D44" s="12"/>
      <x:c r="E44" s="12"/>
      <x:c r="F44" s="16"/>
      <x:c r="G44" s="12"/>
      <x:c r="H44" s="14"/>
      <x:c r="I44" s="11"/>
    </x:row>
    <x:row r="45" spans="1:15">
      <x:c r="A45" s="14">
        <x:v>66</x:v>
      </x:c>
      <x:c r="B45" s="12"/>
      <x:c r="C45" s="16"/>
      <x:c r="D45" s="12"/>
      <x:c r="E45" s="12"/>
      <x:c r="F45" s="16"/>
      <x:c r="G45" s="12"/>
      <x:c r="H45" s="14"/>
      <x:c r="I45" s="11"/>
    </x:row>
    <x:row r="46" spans="1:15">
      <x:c r="A46" s="14">
        <x:v>68</x:v>
      </x:c>
      <x:c r="B46" s="12"/>
      <x:c r="C46" s="16"/>
      <x:c r="D46" s="12"/>
      <x:c r="E46" s="12"/>
      <x:c r="F46" s="16"/>
      <x:c r="G46" s="12"/>
      <x:c r="H46" s="14"/>
      <x:c r="I46" s="11"/>
    </x:row>
    <x:row r="47" spans="1:15">
      <x:c r="A47" s="14">
        <x:v>70</x:v>
      </x:c>
      <x:c r="B47" s="12"/>
      <x:c r="C47" s="16"/>
      <x:c r="D47" s="12"/>
      <x:c r="E47" s="12"/>
      <x:c r="F47" s="16"/>
      <x:c r="G47" s="12"/>
      <x:c r="H47" s="14"/>
      <x:c r="I47" s="11"/>
    </x:row>
    <x:row r="48" spans="1:15">
      <x:c r="A48" s="14">
        <x:v>72</x:v>
      </x:c>
      <x:c r="B48" s="12"/>
      <x:c r="C48" s="16"/>
      <x:c r="D48" s="12"/>
      <x:c r="E48" s="12"/>
      <x:c r="F48" s="16"/>
      <x:c r="G48" s="12"/>
      <x:c r="H48" s="14"/>
      <x:c r="I48" s="11"/>
    </x:row>
    <x:row r="49" spans="1:15">
      <x:c r="A49" s="14">
        <x:v>74</x:v>
      </x:c>
      <x:c r="B49" s="12"/>
      <x:c r="C49" s="16"/>
      <x:c r="D49" s="12"/>
      <x:c r="E49" s="12"/>
      <x:c r="F49" s="16"/>
      <x:c r="G49" s="12"/>
      <x:c r="H49" s="14"/>
      <x:c r="I49" s="11"/>
    </x:row>
    <x:row r="50" spans="1:15">
      <x:c r="A50" s="14">
        <x:v>76</x:v>
      </x:c>
      <x:c r="B50" s="12"/>
      <x:c r="C50" s="16"/>
      <x:c r="D50" s="12"/>
      <x:c r="E50" s="12"/>
      <x:c r="F50" s="16"/>
      <x:c r="G50" s="12"/>
      <x:c r="H50" s="14"/>
      <x:c r="I50" s="11"/>
    </x:row>
    <x:row r="51" spans="1:15">
      <x:c r="A51" s="14">
        <x:v>78</x:v>
      </x:c>
      <x:c r="B51" s="12"/>
      <x:c r="C51" s="16"/>
      <x:c r="D51" s="12"/>
      <x:c r="E51" s="12"/>
      <x:c r="F51" s="16"/>
      <x:c r="G51" s="12"/>
      <x:c r="H51" s="14"/>
      <x:c r="I51" s="11"/>
    </x:row>
    <x:row r="52" spans="1:15">
      <x:c r="A52" s="14">
        <x:v>80</x:v>
      </x:c>
      <x:c r="B52" s="12"/>
      <x:c r="C52" s="16"/>
      <x:c r="D52" s="12"/>
      <x:c r="E52" s="12"/>
      <x:c r="F52" s="16"/>
      <x:c r="G52" s="12"/>
      <x:c r="H52" s="14"/>
      <x:c r="I52" s="11"/>
    </x:row>
    <x:row r="53" spans="1:15">
      <x:c r="A53" s="14">
        <x:v>82</x:v>
      </x:c>
      <x:c r="B53" s="12"/>
      <x:c r="C53" s="16"/>
      <x:c r="D53" s="12"/>
      <x:c r="E53" s="12"/>
      <x:c r="F53" s="16"/>
      <x:c r="G53" s="12"/>
      <x:c r="H53" s="14"/>
      <x:c r="I53" s="11"/>
    </x:row>
    <x:row r="54" spans="1:15">
      <x:c r="A54" s="14">
        <x:v>84</x:v>
      </x:c>
      <x:c r="B54" s="12"/>
      <x:c r="C54" s="16"/>
      <x:c r="D54" s="12"/>
      <x:c r="E54" s="12"/>
      <x:c r="F54" s="16"/>
      <x:c r="G54" s="12"/>
      <x:c r="H54" s="14"/>
      <x:c r="I54" s="11"/>
    </x:row>
    <x:row r="55" spans="1:15">
      <x:c r="A55" s="14">
        <x:v>86</x:v>
      </x:c>
      <x:c r="B55" s="12"/>
      <x:c r="C55" s="16"/>
      <x:c r="D55" s="12"/>
      <x:c r="E55" s="12"/>
      <x:c r="F55" s="16"/>
      <x:c r="G55" s="12"/>
      <x:c r="H55" s="14"/>
      <x:c r="I55" s="11"/>
    </x:row>
    <x:row r="56" spans="1:15">
      <x:c r="A56" s="14">
        <x:v>88</x:v>
      </x:c>
      <x:c r="B56" s="12"/>
      <x:c r="C56" s="16"/>
      <x:c r="D56" s="12"/>
      <x:c r="E56" s="12"/>
      <x:c r="F56" s="16"/>
      <x:c r="G56" s="12"/>
      <x:c r="H56" s="14"/>
      <x:c r="I56" s="11"/>
    </x:row>
    <x:row r="57" spans="1:15">
      <x:c r="A57" s="14">
        <x:v>90</x:v>
      </x:c>
      <x:c r="B57" s="12"/>
      <x:c r="C57" s="16"/>
      <x:c r="D57" s="12"/>
      <x:c r="E57" s="12"/>
      <x:c r="F57" s="16"/>
      <x:c r="G57" s="12"/>
      <x:c r="H57" s="14"/>
      <x:c r="I57" s="11"/>
    </x:row>
    <x:row r="58" spans="1:15">
      <x:c r="A58" s="14">
        <x:v>92</x:v>
      </x:c>
      <x:c r="B58" s="12"/>
      <x:c r="C58" s="16"/>
      <x:c r="D58" s="12"/>
      <x:c r="E58" s="12"/>
      <x:c r="F58" s="16"/>
      <x:c r="G58" s="12"/>
      <x:c r="H58" s="14"/>
      <x:c r="I58" s="11"/>
    </x:row>
    <x:row r="59" spans="1:15">
      <x:c r="A59" s="14">
        <x:v>94</x:v>
      </x:c>
      <x:c r="B59" s="12"/>
      <x:c r="C59" s="16"/>
      <x:c r="D59" s="12"/>
      <x:c r="E59" s="12"/>
      <x:c r="F59" s="16"/>
      <x:c r="G59" s="12"/>
      <x:c r="H59" s="14"/>
      <x:c r="I59" s="11"/>
    </x:row>
    <x:row r="60" spans="1:15">
      <x:c r="A60" s="14">
        <x:v>96</x:v>
      </x:c>
      <x:c r="B60" s="12"/>
      <x:c r="C60" s="16"/>
      <x:c r="D60" s="12"/>
      <x:c r="E60" s="12"/>
      <x:c r="F60" s="16"/>
      <x:c r="G60" s="12"/>
      <x:c r="H60" s="14"/>
      <x:c r="I60" s="11"/>
    </x:row>
    <x:row r="61" spans="1:15">
      <x:c r="A61" s="14">
        <x:v>98</x:v>
      </x:c>
      <x:c r="B61" s="12"/>
      <x:c r="C61" s="16"/>
      <x:c r="D61" s="12"/>
      <x:c r="E61" s="12"/>
      <x:c r="F61" s="16"/>
      <x:c r="G61" s="12"/>
      <x:c r="H61" s="14"/>
      <x:c r="I61" s="11"/>
    </x:row>
    <x:row r="62" spans="1:15">
      <x:c r="A62" s="14">
        <x:v>100</x:v>
      </x:c>
      <x:c r="B62" s="12"/>
      <x:c r="C62" s="16"/>
      <x:c r="D62" s="12"/>
      <x:c r="E62" s="12"/>
      <x:c r="F62" s="16"/>
      <x:c r="G62" s="12"/>
      <x:c r="H62" s="14"/>
      <x:c r="I62" s="11"/>
    </x:row>
    <x:row r="63" spans="1:15">
      <x:c r="A63" s="14">
        <x:v>102</x:v>
      </x:c>
      <x:c r="B63" s="12"/>
      <x:c r="C63" s="16"/>
      <x:c r="D63" s="12"/>
      <x:c r="E63" s="12"/>
      <x:c r="F63" s="16"/>
      <x:c r="G63" s="12"/>
      <x:c r="H63" s="14"/>
      <x:c r="I63" s="11"/>
    </x:row>
    <x:row r="64" spans="1:15">
      <x:c r="A64" s="14">
        <x:v>104</x:v>
      </x:c>
      <x:c r="B64" s="12"/>
      <x:c r="C64" s="16"/>
      <x:c r="D64" s="12"/>
      <x:c r="E64" s="12"/>
      <x:c r="F64" s="16"/>
      <x:c r="G64" s="12"/>
      <x:c r="H64" s="14"/>
      <x:c r="I64" s="11"/>
    </x:row>
    <x:row r="65" spans="1:15">
      <x:c r="A65" s="14">
        <x:v>106</x:v>
      </x:c>
      <x:c r="B65" s="12"/>
      <x:c r="C65" s="16"/>
      <x:c r="D65" s="12"/>
      <x:c r="E65" s="12"/>
      <x:c r="F65" s="16"/>
      <x:c r="G65" s="12"/>
      <x:c r="H65" s="14"/>
      <x:c r="I65" s="11"/>
    </x:row>
    <x:row r="66" spans="1:15">
      <x:c r="A66" s="14">
        <x:v>108</x:v>
      </x:c>
      <x:c r="B66" s="12"/>
      <x:c r="C66" s="16"/>
      <x:c r="D66" s="12"/>
      <x:c r="E66" s="12"/>
      <x:c r="F66" s="16"/>
      <x:c r="G66" s="12"/>
      <x:c r="H66" s="14"/>
      <x:c r="I66" s="11"/>
    </x:row>
    <x:row r="67" spans="1:15">
      <x:c r="A67" s="14">
        <x:v>110</x:v>
      </x:c>
      <x:c r="B67" s="12"/>
      <x:c r="C67" s="16"/>
      <x:c r="D67" s="12"/>
      <x:c r="E67" s="12"/>
      <x:c r="F67" s="16"/>
      <x:c r="G67" s="12"/>
      <x:c r="H67" s="14"/>
      <x:c r="I67" s="11"/>
    </x:row>
    <x:row r="68" spans="1:15">
      <x:c r="A68" s="14">
        <x:v>112</x:v>
      </x:c>
      <x:c r="B68" s="12"/>
      <x:c r="C68" s="16"/>
      <x:c r="D68" s="12"/>
      <x:c r="E68" s="12"/>
      <x:c r="F68" s="16"/>
      <x:c r="G68" s="12"/>
      <x:c r="H68" s="14"/>
      <x:c r="I68" s="11"/>
    </x:row>
    <x:row r="69" spans="1:15">
      <x:c r="A69" s="14">
        <x:v>114</x:v>
      </x:c>
      <x:c r="B69" s="12"/>
      <x:c r="C69" s="16"/>
      <x:c r="D69" s="12"/>
      <x:c r="E69" s="12"/>
      <x:c r="F69" s="16"/>
      <x:c r="G69" s="12"/>
      <x:c r="H69" s="14"/>
      <x:c r="I69" s="11"/>
    </x:row>
    <x:row r="70" spans="1:15">
      <x:c r="A70" s="14">
        <x:v>116</x:v>
      </x:c>
      <x:c r="B70" s="12"/>
      <x:c r="C70" s="16"/>
      <x:c r="D70" s="12"/>
      <x:c r="E70" s="12"/>
      <x:c r="F70" s="16"/>
      <x:c r="G70" s="12"/>
      <x:c r="H70" s="14"/>
      <x:c r="I70" s="11"/>
    </x:row>
    <x:row r="71" spans="1:15">
      <x:c r="A71" s="14">
        <x:v>118</x:v>
      </x:c>
      <x:c r="B71" s="12"/>
      <x:c r="C71" s="16"/>
      <x:c r="D71" s="12"/>
      <x:c r="E71" s="12"/>
      <x:c r="F71" s="16"/>
      <x:c r="G71" s="12"/>
      <x:c r="H71" s="14"/>
      <x:c r="I71" s="11"/>
    </x:row>
    <x:row r="72" spans="1:15">
      <x:c r="A72" s="14">
        <x:v>120</x:v>
      </x:c>
      <x:c r="B72" s="12"/>
      <x:c r="C72" s="16"/>
      <x:c r="D72" s="12"/>
      <x:c r="E72" s="12"/>
      <x:c r="F72" s="16"/>
      <x:c r="G72" s="12"/>
      <x:c r="H72" s="14"/>
      <x:c r="I72" s="11"/>
    </x:row>
  </x:sheetData>
  <x:mergeCells count="11">
    <x:mergeCell ref="B4:C4"/>
    <x:mergeCell ref="E4:F4"/>
    <x:mergeCell ref="B5:C5"/>
    <x:mergeCell ref="E5:F5"/>
    <x:mergeCell ref="B6:C6"/>
    <x:mergeCell ref="E6:F6"/>
    <x:mergeCell ref="B7:C7"/>
    <x:mergeCell ref="E7:F7"/>
    <x:mergeCell ref="B8:C8"/>
    <x:mergeCell ref="E8:F8"/>
    <x:mergeCell ref="B9:C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30"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72"/>
  <x:sheetViews>
    <x:sheetView workbookViewId="0">
      <x:pane xSplit="1" ySplit="11" topLeftCell="B12" activePane="bottomRight" state="frozenSplit"/>
    </x:sheetView>
  </x:sheetViews>
  <x:sheetFormatPr defaultRowHeight="15"/>
  <x:cols>
    <x:col min="1" max="1" width="10.710625" style="0" customWidth="1"/>
    <x:col min="2" max="3" width="11.710625" style="0" customWidth="1"/>
    <x:col min="4" max="4" width="10.710625" style="0" customWidth="1"/>
    <x:col min="5" max="6" width="11.710625" style="0" customWidth="1"/>
    <x:col min="7" max="7" width="10.710625" style="0" customWidth="1"/>
    <x:col min="8" max="8" width="12.710625" style="0" customWidth="1"/>
    <x:col min="9" max="9" width="22.710625" style="0" customWidth="1"/>
    <x:col min="10" max="10" width="9.140625" style="0" customWidth="1"/>
    <x:col min="11" max="11" width="36.710625" style="0" customWidth="1"/>
    <x:col min="12" max="12" width="14.710625" style="0" customWidth="1"/>
    <x:col min="13" max="15" width="9.140625" style="0" customWidth="1"/>
  </x:cols>
  <x:sheetData>
    <x:row r="1" spans="1:15">
      <x:c r="A1" s="1" t="s">
        <x:v>113</x:v>
      </x:c>
    </x:row>
    <x:row r="2" spans="1:15">
      <x:c r="A2" s="2" t="s">
        <x:v>89</x:v>
      </x:c>
    </x:row>
    <x:row r="4" spans="1:15">
      <x:c r="A4" s="8" t="s">
        <x:v>25</x:v>
      </x:c>
      <x:c r="B4" s="9"/>
      <x:c r="C4" s="10"/>
      <x:c r="D4" s="8" t="s">
        <x:v>26</x:v>
      </x:c>
      <x:c r="E4" s="11"/>
      <x:c r="F4" s="10"/>
    </x:row>
    <x:row r="5" spans="1:15">
      <x:c r="A5" s="8" t="s">
        <x:v>27</x:v>
      </x:c>
      <x:c r="B5" s="12"/>
      <x:c r="C5" s="10"/>
      <x:c r="D5" s="8" t="s">
        <x:v>28</x:v>
      </x:c>
      <x:c r="E5" s="12"/>
      <x:c r="F5" s="10"/>
    </x:row>
    <x:row r="6" spans="1:15">
      <x:c r="A6" s="8" t="s">
        <x:v>90</x:v>
      </x:c>
      <x:c r="B6" s="12"/>
      <x:c r="C6" s="10"/>
      <x:c r="D6" s="8" t="s">
        <x:v>91</x:v>
      </x:c>
      <x:c r="E6" s="12"/>
      <x:c r="F6" s="10"/>
    </x:row>
    <x:row r="7" spans="1:15">
      <x:c r="A7" s="8" t="s">
        <x:v>92</x:v>
      </x:c>
      <x:c r="B7" s="12"/>
      <x:c r="C7" s="10"/>
      <x:c r="D7" s="8" t="s">
        <x:v>93</x:v>
      </x:c>
      <x:c r="E7" s="12"/>
      <x:c r="F7" s="10"/>
    </x:row>
    <x:row r="8" spans="1:15">
      <x:c r="A8" s="8" t="s">
        <x:v>35</x:v>
      </x:c>
      <x:c r="B8" s="11"/>
      <x:c r="C8" s="10"/>
      <x:c r="D8" s="8" t="s">
        <x:v>36</x:v>
      </x:c>
      <x:c r="E8" s="11"/>
      <x:c r="F8" s="10"/>
    </x:row>
    <x:row r="9" spans="1:15">
      <x:c r="A9" s="8" t="s">
        <x:v>37</x:v>
      </x:c>
      <x:c r="B9" s="11"/>
      <x:c r="C9" s="10"/>
    </x:row>
    <x:row r="11" spans="1:15">
      <x:c r="A11" s="13" t="s">
        <x:v>38</x:v>
      </x:c>
      <x:c r="B11" s="13" t="s">
        <x:v>94</x:v>
      </x:c>
      <x:c r="C11" s="13" t="s">
        <x:v>95</x:v>
      </x:c>
      <x:c r="D11" s="13" t="s">
        <x:v>40</x:v>
      </x:c>
      <x:c r="E11" s="13" t="s">
        <x:v>96</x:v>
      </x:c>
      <x:c r="F11" s="13" t="s">
        <x:v>97</x:v>
      </x:c>
      <x:c r="G11" s="13" t="s">
        <x:v>45</x:v>
      </x:c>
      <x:c r="H11" s="13" t="s">
        <x:v>98</x:v>
      </x:c>
      <x:c r="I11" s="13" t="s">
        <x:v>37</x:v>
      </x:c>
      <x:c r="K11" s="13" t="s">
        <x:v>51</x:v>
      </x:c>
      <x:c r="L11" s="13" t="s">
        <x:v>52</x:v>
      </x:c>
    </x:row>
    <x:row r="12" spans="1:15">
      <x:c r="A12" s="14">
        <x:v>0</x:v>
      </x:c>
      <x:c r="B12" s="12"/>
      <x:c r="C12" s="16"/>
      <x:c r="D12" s="12"/>
      <x:c r="E12" s="12"/>
      <x:c r="F12" s="16"/>
      <x:c r="G12" s="12"/>
      <x:c r="H12" s="14"/>
      <x:c r="I12" s="11"/>
      <x:c r="K12" s="8" t="s">
        <x:v>99</x:v>
      </x:c>
      <x:c r="L12" s="19">
        <x:f>IF(COUNT(B12:B72)=0,"",AVERAGE(B12:B72))</x:f>
      </x:c>
    </x:row>
    <x:row r="13" spans="1:15">
      <x:c r="A13" s="14">
        <x:v>2</x:v>
      </x:c>
      <x:c r="B13" s="12"/>
      <x:c r="C13" s="16"/>
      <x:c r="D13" s="12"/>
      <x:c r="E13" s="12"/>
      <x:c r="F13" s="16"/>
      <x:c r="G13" s="12"/>
      <x:c r="H13" s="14"/>
      <x:c r="I13" s="11"/>
      <x:c r="K13" s="8" t="s">
        <x:v>100</x:v>
      </x:c>
      <x:c r="L13" s="19">
        <x:f>IF(COUNT(B12:B72)=0,"",MAX(B12:B72)-MIN(B12:B72))</x:f>
      </x:c>
    </x:row>
    <x:row r="14" spans="1:15">
      <x:c r="A14" s="14">
        <x:v>4</x:v>
      </x:c>
      <x:c r="B14" s="12"/>
      <x:c r="C14" s="16"/>
      <x:c r="D14" s="12"/>
      <x:c r="E14" s="12"/>
      <x:c r="F14" s="16"/>
      <x:c r="G14" s="12"/>
      <x:c r="H14" s="14"/>
      <x:c r="I14" s="11"/>
      <x:c r="K14" s="8" t="s">
        <x:v>101</x:v>
      </x:c>
      <x:c r="L14" s="19">
        <x:f>IF(COUNT(B12:B72)=0,"",(MAX(B12:B72)-MIN(B12:B72))/2)</x:f>
      </x:c>
    </x:row>
    <x:row r="15" spans="1:15">
      <x:c r="A15" s="14">
        <x:v>6</x:v>
      </x:c>
      <x:c r="B15" s="12"/>
      <x:c r="C15" s="16"/>
      <x:c r="D15" s="12"/>
      <x:c r="E15" s="12"/>
      <x:c r="F15" s="16"/>
      <x:c r="G15" s="12"/>
      <x:c r="H15" s="14"/>
      <x:c r="I15" s="11"/>
      <x:c r="K15" s="8" t="s">
        <x:v>102</x:v>
      </x:c>
      <x:c r="L15" s="20">
        <x:f>IF(COUNT(B12:B72)&lt;2,"",STDEV(B12:B72))</x:f>
      </x:c>
    </x:row>
    <x:row r="16" spans="1:15">
      <x:c r="A16" s="14">
        <x:v>8</x:v>
      </x:c>
      <x:c r="B16" s="12"/>
      <x:c r="C16" s="16"/>
      <x:c r="D16" s="12"/>
      <x:c r="E16" s="12"/>
      <x:c r="F16" s="16"/>
      <x:c r="G16" s="12"/>
      <x:c r="H16" s="14"/>
      <x:c r="I16" s="11"/>
      <x:c r="K16" s="8" t="s">
        <x:v>103</x:v>
      </x:c>
      <x:c r="L16" s="19">
        <x:f>IF(COUNT(C12:C72)=0,"",MAX(C12:C72)-MIN(C12:C72))</x:f>
      </x:c>
    </x:row>
    <x:row r="17" spans="1:15">
      <x:c r="A17" s="14">
        <x:v>10</x:v>
      </x:c>
      <x:c r="B17" s="12"/>
      <x:c r="C17" s="16"/>
      <x:c r="D17" s="12"/>
      <x:c r="E17" s="12"/>
      <x:c r="F17" s="16"/>
      <x:c r="G17" s="12"/>
      <x:c r="H17" s="14"/>
      <x:c r="I17" s="11"/>
      <x:c r="K17" s="8" t="s">
        <x:v>104</x:v>
      </x:c>
      <x:c r="L17" s="19">
        <x:f>IF(OR(COUNT(C12:C72)=0,$B$6=""),"",AVERAGE(C12:C72)-$B$6)</x:f>
      </x:c>
    </x:row>
    <x:row r="18" spans="1:15">
      <x:c r="A18" s="14">
        <x:v>12</x:v>
      </x:c>
      <x:c r="B18" s="12"/>
      <x:c r="C18" s="16"/>
      <x:c r="D18" s="12"/>
      <x:c r="E18" s="12"/>
      <x:c r="F18" s="16"/>
      <x:c r="G18" s="12"/>
      <x:c r="H18" s="14"/>
      <x:c r="I18" s="11"/>
      <x:c r="K18" s="8" t="s">
        <x:v>57</x:v>
      </x:c>
      <x:c r="L18" s="18">
        <x:f>IF(COUNT(D12:D72)=0,"",AVERAGE(D12:D72))</x:f>
      </x:c>
    </x:row>
    <x:row r="19" spans="1:15">
      <x:c r="A19" s="14">
        <x:v>14</x:v>
      </x:c>
      <x:c r="B19" s="12"/>
      <x:c r="C19" s="16"/>
      <x:c r="D19" s="12"/>
      <x:c r="E19" s="12"/>
      <x:c r="F19" s="16"/>
      <x:c r="G19" s="12"/>
      <x:c r="H19" s="14"/>
      <x:c r="I19" s="11"/>
    </x:row>
    <x:row r="20" spans="1:15">
      <x:c r="A20" s="14">
        <x:v>16</x:v>
      </x:c>
      <x:c r="B20" s="12"/>
      <x:c r="C20" s="16"/>
      <x:c r="D20" s="12"/>
      <x:c r="E20" s="12"/>
      <x:c r="F20" s="16"/>
      <x:c r="G20" s="12"/>
      <x:c r="H20" s="14"/>
      <x:c r="I20" s="11"/>
      <x:c r="K20" s="8" t="s">
        <x:v>105</x:v>
      </x:c>
      <x:c r="L20" s="19">
        <x:f>IF(COUNT(E12:E72)=0,"",AVERAGE(E12:E72))</x:f>
      </x:c>
    </x:row>
    <x:row r="21" spans="1:15">
      <x:c r="A21" s="14">
        <x:v>18</x:v>
      </x:c>
      <x:c r="B21" s="12"/>
      <x:c r="C21" s="16"/>
      <x:c r="D21" s="12"/>
      <x:c r="E21" s="12"/>
      <x:c r="F21" s="16"/>
      <x:c r="G21" s="12"/>
      <x:c r="H21" s="14"/>
      <x:c r="I21" s="11"/>
      <x:c r="K21" s="8" t="s">
        <x:v>106</x:v>
      </x:c>
      <x:c r="L21" s="19">
        <x:f>IF(COUNT(E12:E72)=0,"",MAX(E12:E72)-MIN(E12:E72))</x:f>
      </x:c>
    </x:row>
    <x:row r="22" spans="1:15">
      <x:c r="A22" s="14">
        <x:v>20</x:v>
      </x:c>
      <x:c r="B22" s="12"/>
      <x:c r="C22" s="16"/>
      <x:c r="D22" s="12"/>
      <x:c r="E22" s="12"/>
      <x:c r="F22" s="16"/>
      <x:c r="G22" s="12"/>
      <x:c r="H22" s="14"/>
      <x:c r="I22" s="11"/>
      <x:c r="K22" s="8" t="s">
        <x:v>107</x:v>
      </x:c>
      <x:c r="L22" s="19">
        <x:f>IF(COUNT(E12:E72)=0,"",(MAX(E12:E72)-MIN(E12:E72))/2)</x:f>
      </x:c>
    </x:row>
    <x:row r="23" spans="1:15">
      <x:c r="A23" s="14">
        <x:v>22</x:v>
      </x:c>
      <x:c r="B23" s="12"/>
      <x:c r="C23" s="16"/>
      <x:c r="D23" s="12"/>
      <x:c r="E23" s="12"/>
      <x:c r="F23" s="16"/>
      <x:c r="G23" s="12"/>
      <x:c r="H23" s="14"/>
      <x:c r="I23" s="11"/>
      <x:c r="K23" s="8" t="s">
        <x:v>108</x:v>
      </x:c>
      <x:c r="L23" s="20">
        <x:f>IF(COUNT(E12:E72)&lt;2,"",STDEV(E12:E72))</x:f>
      </x:c>
    </x:row>
    <x:row r="24" spans="1:15">
      <x:c r="A24" s="14">
        <x:v>24</x:v>
      </x:c>
      <x:c r="B24" s="12"/>
      <x:c r="C24" s="16"/>
      <x:c r="D24" s="12"/>
      <x:c r="E24" s="12"/>
      <x:c r="F24" s="16"/>
      <x:c r="G24" s="12"/>
      <x:c r="H24" s="14"/>
      <x:c r="I24" s="11"/>
      <x:c r="K24" s="8" t="s">
        <x:v>109</x:v>
      </x:c>
      <x:c r="L24" s="19">
        <x:f>IF(COUNT(F12:F72)=0,"",MAX(F12:F72)-MIN(F12:F72))</x:f>
      </x:c>
    </x:row>
    <x:row r="25" spans="1:15">
      <x:c r="A25" s="14">
        <x:v>26</x:v>
      </x:c>
      <x:c r="B25" s="12"/>
      <x:c r="C25" s="16"/>
      <x:c r="D25" s="12"/>
      <x:c r="E25" s="12"/>
      <x:c r="F25" s="16"/>
      <x:c r="G25" s="12"/>
      <x:c r="H25" s="14"/>
      <x:c r="I25" s="11"/>
      <x:c r="K25" s="8" t="s">
        <x:v>110</x:v>
      </x:c>
      <x:c r="L25" s="19">
        <x:f>IF(OR(COUNT(F12:F72)=0,$B$6=""),"",AVERAGE(F12:F72)-$B$6)</x:f>
      </x:c>
    </x:row>
    <x:row r="26" spans="1:15">
      <x:c r="A26" s="14">
        <x:v>28</x:v>
      </x:c>
      <x:c r="B26" s="12"/>
      <x:c r="C26" s="16"/>
      <x:c r="D26" s="12"/>
      <x:c r="E26" s="12"/>
      <x:c r="F26" s="16"/>
      <x:c r="G26" s="12"/>
      <x:c r="H26" s="14"/>
      <x:c r="I26" s="11"/>
      <x:c r="K26" s="8" t="s">
        <x:v>64</x:v>
      </x:c>
      <x:c r="L26" s="18">
        <x:f>IF(COUNT(G12:G72)=0,"",AVERAGE(G12:G72))</x:f>
      </x:c>
    </x:row>
    <x:row r="27" spans="1:15">
      <x:c r="A27" s="14">
        <x:v>30</x:v>
      </x:c>
      <x:c r="B27" s="12"/>
      <x:c r="C27" s="16"/>
      <x:c r="D27" s="12"/>
      <x:c r="E27" s="12"/>
      <x:c r="F27" s="16"/>
      <x:c r="G27" s="12"/>
      <x:c r="H27" s="14"/>
      <x:c r="I27" s="11"/>
    </x:row>
    <x:row r="28" spans="1:15">
      <x:c r="A28" s="14">
        <x:v>32</x:v>
      </x:c>
      <x:c r="B28" s="12"/>
      <x:c r="C28" s="16"/>
      <x:c r="D28" s="12"/>
      <x:c r="E28" s="12"/>
      <x:c r="F28" s="16"/>
      <x:c r="G28" s="12"/>
      <x:c r="H28" s="14"/>
      <x:c r="I28" s="11"/>
      <x:c r="K28" s="8" t="s">
        <x:v>111</x:v>
      </x:c>
      <x:c r="L28" s="17">
        <x:f>IF(COUNT(H12:H72)=0,"",SUM(H12:H72))</x:f>
      </x:c>
    </x:row>
    <x:row r="29" spans="1:15">
      <x:c r="A29" s="14">
        <x:v>34</x:v>
      </x:c>
      <x:c r="B29" s="12"/>
      <x:c r="C29" s="16"/>
      <x:c r="D29" s="12"/>
      <x:c r="E29" s="12"/>
      <x:c r="F29" s="16"/>
      <x:c r="G29" s="12"/>
      <x:c r="H29" s="14"/>
      <x:c r="I29" s="11"/>
    </x:row>
    <x:row r="30" spans="1:15">
      <x:c r="A30" s="14">
        <x:v>36</x:v>
      </x:c>
      <x:c r="B30" s="12"/>
      <x:c r="C30" s="16"/>
      <x:c r="D30" s="12"/>
      <x:c r="E30" s="12"/>
      <x:c r="F30" s="16"/>
      <x:c r="G30" s="12"/>
      <x:c r="H30" s="14"/>
      <x:c r="I30" s="11"/>
    </x:row>
    <x:row r="31" spans="1:15">
      <x:c r="A31" s="14">
        <x:v>38</x:v>
      </x:c>
      <x:c r="B31" s="12"/>
      <x:c r="C31" s="16"/>
      <x:c r="D31" s="12"/>
      <x:c r="E31" s="12"/>
      <x:c r="F31" s="16"/>
      <x:c r="G31" s="12"/>
      <x:c r="H31" s="14"/>
      <x:c r="I31" s="11"/>
    </x:row>
    <x:row r="32" spans="1:15">
      <x:c r="A32" s="14">
        <x:v>40</x:v>
      </x:c>
      <x:c r="B32" s="12"/>
      <x:c r="C32" s="16"/>
      <x:c r="D32" s="12"/>
      <x:c r="E32" s="12"/>
      <x:c r="F32" s="16"/>
      <x:c r="G32" s="12"/>
      <x:c r="H32" s="14"/>
      <x:c r="I32" s="11"/>
    </x:row>
    <x:row r="33" spans="1:15">
      <x:c r="A33" s="14">
        <x:v>42</x:v>
      </x:c>
      <x:c r="B33" s="12"/>
      <x:c r="C33" s="16"/>
      <x:c r="D33" s="12"/>
      <x:c r="E33" s="12"/>
      <x:c r="F33" s="16"/>
      <x:c r="G33" s="12"/>
      <x:c r="H33" s="14"/>
      <x:c r="I33" s="11"/>
    </x:row>
    <x:row r="34" spans="1:15">
      <x:c r="A34" s="14">
        <x:v>44</x:v>
      </x:c>
      <x:c r="B34" s="12"/>
      <x:c r="C34" s="16"/>
      <x:c r="D34" s="12"/>
      <x:c r="E34" s="12"/>
      <x:c r="F34" s="16"/>
      <x:c r="G34" s="12"/>
      <x:c r="H34" s="14"/>
      <x:c r="I34" s="11"/>
    </x:row>
    <x:row r="35" spans="1:15">
      <x:c r="A35" s="14">
        <x:v>46</x:v>
      </x:c>
      <x:c r="B35" s="12"/>
      <x:c r="C35" s="16"/>
      <x:c r="D35" s="12"/>
      <x:c r="E35" s="12"/>
      <x:c r="F35" s="16"/>
      <x:c r="G35" s="12"/>
      <x:c r="H35" s="14"/>
      <x:c r="I35" s="11"/>
    </x:row>
    <x:row r="36" spans="1:15">
      <x:c r="A36" s="14">
        <x:v>48</x:v>
      </x:c>
      <x:c r="B36" s="12"/>
      <x:c r="C36" s="16"/>
      <x:c r="D36" s="12"/>
      <x:c r="E36" s="12"/>
      <x:c r="F36" s="16"/>
      <x:c r="G36" s="12"/>
      <x:c r="H36" s="14"/>
      <x:c r="I36" s="11"/>
    </x:row>
    <x:row r="37" spans="1:15">
      <x:c r="A37" s="14">
        <x:v>50</x:v>
      </x:c>
      <x:c r="B37" s="12"/>
      <x:c r="C37" s="16"/>
      <x:c r="D37" s="12"/>
      <x:c r="E37" s="12"/>
      <x:c r="F37" s="16"/>
      <x:c r="G37" s="12"/>
      <x:c r="H37" s="14"/>
      <x:c r="I37" s="11"/>
    </x:row>
    <x:row r="38" spans="1:15">
      <x:c r="A38" s="14">
        <x:v>52</x:v>
      </x:c>
      <x:c r="B38" s="12"/>
      <x:c r="C38" s="16"/>
      <x:c r="D38" s="12"/>
      <x:c r="E38" s="12"/>
      <x:c r="F38" s="16"/>
      <x:c r="G38" s="12"/>
      <x:c r="H38" s="14"/>
      <x:c r="I38" s="11"/>
    </x:row>
    <x:row r="39" spans="1:15">
      <x:c r="A39" s="14">
        <x:v>54</x:v>
      </x:c>
      <x:c r="B39" s="12"/>
      <x:c r="C39" s="16"/>
      <x:c r="D39" s="12"/>
      <x:c r="E39" s="12"/>
      <x:c r="F39" s="16"/>
      <x:c r="G39" s="12"/>
      <x:c r="H39" s="14"/>
      <x:c r="I39" s="11"/>
    </x:row>
    <x:row r="40" spans="1:15">
      <x:c r="A40" s="14">
        <x:v>56</x:v>
      </x:c>
      <x:c r="B40" s="12"/>
      <x:c r="C40" s="16"/>
      <x:c r="D40" s="12"/>
      <x:c r="E40" s="12"/>
      <x:c r="F40" s="16"/>
      <x:c r="G40" s="12"/>
      <x:c r="H40" s="14"/>
      <x:c r="I40" s="11"/>
    </x:row>
    <x:row r="41" spans="1:15">
      <x:c r="A41" s="14">
        <x:v>58</x:v>
      </x:c>
      <x:c r="B41" s="12"/>
      <x:c r="C41" s="16"/>
      <x:c r="D41" s="12"/>
      <x:c r="E41" s="12"/>
      <x:c r="F41" s="16"/>
      <x:c r="G41" s="12"/>
      <x:c r="H41" s="14"/>
      <x:c r="I41" s="11"/>
    </x:row>
    <x:row r="42" spans="1:15">
      <x:c r="A42" s="14">
        <x:v>60</x:v>
      </x:c>
      <x:c r="B42" s="12"/>
      <x:c r="C42" s="16"/>
      <x:c r="D42" s="12"/>
      <x:c r="E42" s="12"/>
      <x:c r="F42" s="16"/>
      <x:c r="G42" s="12"/>
      <x:c r="H42" s="14"/>
      <x:c r="I42" s="11"/>
    </x:row>
    <x:row r="43" spans="1:15">
      <x:c r="A43" s="14">
        <x:v>62</x:v>
      </x:c>
      <x:c r="B43" s="12"/>
      <x:c r="C43" s="16"/>
      <x:c r="D43" s="12"/>
      <x:c r="E43" s="12"/>
      <x:c r="F43" s="16"/>
      <x:c r="G43" s="12"/>
      <x:c r="H43" s="14"/>
      <x:c r="I43" s="11"/>
    </x:row>
    <x:row r="44" spans="1:15">
      <x:c r="A44" s="14">
        <x:v>64</x:v>
      </x:c>
      <x:c r="B44" s="12"/>
      <x:c r="C44" s="16"/>
      <x:c r="D44" s="12"/>
      <x:c r="E44" s="12"/>
      <x:c r="F44" s="16"/>
      <x:c r="G44" s="12"/>
      <x:c r="H44" s="14"/>
      <x:c r="I44" s="11"/>
    </x:row>
    <x:row r="45" spans="1:15">
      <x:c r="A45" s="14">
        <x:v>66</x:v>
      </x:c>
      <x:c r="B45" s="12"/>
      <x:c r="C45" s="16"/>
      <x:c r="D45" s="12"/>
      <x:c r="E45" s="12"/>
      <x:c r="F45" s="16"/>
      <x:c r="G45" s="12"/>
      <x:c r="H45" s="14"/>
      <x:c r="I45" s="11"/>
    </x:row>
    <x:row r="46" spans="1:15">
      <x:c r="A46" s="14">
        <x:v>68</x:v>
      </x:c>
      <x:c r="B46" s="12"/>
      <x:c r="C46" s="16"/>
      <x:c r="D46" s="12"/>
      <x:c r="E46" s="12"/>
      <x:c r="F46" s="16"/>
      <x:c r="G46" s="12"/>
      <x:c r="H46" s="14"/>
      <x:c r="I46" s="11"/>
    </x:row>
    <x:row r="47" spans="1:15">
      <x:c r="A47" s="14">
        <x:v>70</x:v>
      </x:c>
      <x:c r="B47" s="12"/>
      <x:c r="C47" s="16"/>
      <x:c r="D47" s="12"/>
      <x:c r="E47" s="12"/>
      <x:c r="F47" s="16"/>
      <x:c r="G47" s="12"/>
      <x:c r="H47" s="14"/>
      <x:c r="I47" s="11"/>
    </x:row>
    <x:row r="48" spans="1:15">
      <x:c r="A48" s="14">
        <x:v>72</x:v>
      </x:c>
      <x:c r="B48" s="12"/>
      <x:c r="C48" s="16"/>
      <x:c r="D48" s="12"/>
      <x:c r="E48" s="12"/>
      <x:c r="F48" s="16"/>
      <x:c r="G48" s="12"/>
      <x:c r="H48" s="14"/>
      <x:c r="I48" s="11"/>
    </x:row>
    <x:row r="49" spans="1:15">
      <x:c r="A49" s="14">
        <x:v>74</x:v>
      </x:c>
      <x:c r="B49" s="12"/>
      <x:c r="C49" s="16"/>
      <x:c r="D49" s="12"/>
      <x:c r="E49" s="12"/>
      <x:c r="F49" s="16"/>
      <x:c r="G49" s="12"/>
      <x:c r="H49" s="14"/>
      <x:c r="I49" s="11"/>
    </x:row>
    <x:row r="50" spans="1:15">
      <x:c r="A50" s="14">
        <x:v>76</x:v>
      </x:c>
      <x:c r="B50" s="12"/>
      <x:c r="C50" s="16"/>
      <x:c r="D50" s="12"/>
      <x:c r="E50" s="12"/>
      <x:c r="F50" s="16"/>
      <x:c r="G50" s="12"/>
      <x:c r="H50" s="14"/>
      <x:c r="I50" s="11"/>
    </x:row>
    <x:row r="51" spans="1:15">
      <x:c r="A51" s="14">
        <x:v>78</x:v>
      </x:c>
      <x:c r="B51" s="12"/>
      <x:c r="C51" s="16"/>
      <x:c r="D51" s="12"/>
      <x:c r="E51" s="12"/>
      <x:c r="F51" s="16"/>
      <x:c r="G51" s="12"/>
      <x:c r="H51" s="14"/>
      <x:c r="I51" s="11"/>
    </x:row>
    <x:row r="52" spans="1:15">
      <x:c r="A52" s="14">
        <x:v>80</x:v>
      </x:c>
      <x:c r="B52" s="12"/>
      <x:c r="C52" s="16"/>
      <x:c r="D52" s="12"/>
      <x:c r="E52" s="12"/>
      <x:c r="F52" s="16"/>
      <x:c r="G52" s="12"/>
      <x:c r="H52" s="14"/>
      <x:c r="I52" s="11"/>
    </x:row>
    <x:row r="53" spans="1:15">
      <x:c r="A53" s="14">
        <x:v>82</x:v>
      </x:c>
      <x:c r="B53" s="12"/>
      <x:c r="C53" s="16"/>
      <x:c r="D53" s="12"/>
      <x:c r="E53" s="12"/>
      <x:c r="F53" s="16"/>
      <x:c r="G53" s="12"/>
      <x:c r="H53" s="14"/>
      <x:c r="I53" s="11"/>
    </x:row>
    <x:row r="54" spans="1:15">
      <x:c r="A54" s="14">
        <x:v>84</x:v>
      </x:c>
      <x:c r="B54" s="12"/>
      <x:c r="C54" s="16"/>
      <x:c r="D54" s="12"/>
      <x:c r="E54" s="12"/>
      <x:c r="F54" s="16"/>
      <x:c r="G54" s="12"/>
      <x:c r="H54" s="14"/>
      <x:c r="I54" s="11"/>
    </x:row>
    <x:row r="55" spans="1:15">
      <x:c r="A55" s="14">
        <x:v>86</x:v>
      </x:c>
      <x:c r="B55" s="12"/>
      <x:c r="C55" s="16"/>
      <x:c r="D55" s="12"/>
      <x:c r="E55" s="12"/>
      <x:c r="F55" s="16"/>
      <x:c r="G55" s="12"/>
      <x:c r="H55" s="14"/>
      <x:c r="I55" s="11"/>
    </x:row>
    <x:row r="56" spans="1:15">
      <x:c r="A56" s="14">
        <x:v>88</x:v>
      </x:c>
      <x:c r="B56" s="12"/>
      <x:c r="C56" s="16"/>
      <x:c r="D56" s="12"/>
      <x:c r="E56" s="12"/>
      <x:c r="F56" s="16"/>
      <x:c r="G56" s="12"/>
      <x:c r="H56" s="14"/>
      <x:c r="I56" s="11"/>
    </x:row>
    <x:row r="57" spans="1:15">
      <x:c r="A57" s="14">
        <x:v>90</x:v>
      </x:c>
      <x:c r="B57" s="12"/>
      <x:c r="C57" s="16"/>
      <x:c r="D57" s="12"/>
      <x:c r="E57" s="12"/>
      <x:c r="F57" s="16"/>
      <x:c r="G57" s="12"/>
      <x:c r="H57" s="14"/>
      <x:c r="I57" s="11"/>
    </x:row>
    <x:row r="58" spans="1:15">
      <x:c r="A58" s="14">
        <x:v>92</x:v>
      </x:c>
      <x:c r="B58" s="12"/>
      <x:c r="C58" s="16"/>
      <x:c r="D58" s="12"/>
      <x:c r="E58" s="12"/>
      <x:c r="F58" s="16"/>
      <x:c r="G58" s="12"/>
      <x:c r="H58" s="14"/>
      <x:c r="I58" s="11"/>
    </x:row>
    <x:row r="59" spans="1:15">
      <x:c r="A59" s="14">
        <x:v>94</x:v>
      </x:c>
      <x:c r="B59" s="12"/>
      <x:c r="C59" s="16"/>
      <x:c r="D59" s="12"/>
      <x:c r="E59" s="12"/>
      <x:c r="F59" s="16"/>
      <x:c r="G59" s="12"/>
      <x:c r="H59" s="14"/>
      <x:c r="I59" s="11"/>
    </x:row>
    <x:row r="60" spans="1:15">
      <x:c r="A60" s="14">
        <x:v>96</x:v>
      </x:c>
      <x:c r="B60" s="12"/>
      <x:c r="C60" s="16"/>
      <x:c r="D60" s="12"/>
      <x:c r="E60" s="12"/>
      <x:c r="F60" s="16"/>
      <x:c r="G60" s="12"/>
      <x:c r="H60" s="14"/>
      <x:c r="I60" s="11"/>
    </x:row>
    <x:row r="61" spans="1:15">
      <x:c r="A61" s="14">
        <x:v>98</x:v>
      </x:c>
      <x:c r="B61" s="12"/>
      <x:c r="C61" s="16"/>
      <x:c r="D61" s="12"/>
      <x:c r="E61" s="12"/>
      <x:c r="F61" s="16"/>
      <x:c r="G61" s="12"/>
      <x:c r="H61" s="14"/>
      <x:c r="I61" s="11"/>
    </x:row>
    <x:row r="62" spans="1:15">
      <x:c r="A62" s="14">
        <x:v>100</x:v>
      </x:c>
      <x:c r="B62" s="12"/>
      <x:c r="C62" s="16"/>
      <x:c r="D62" s="12"/>
      <x:c r="E62" s="12"/>
      <x:c r="F62" s="16"/>
      <x:c r="G62" s="12"/>
      <x:c r="H62" s="14"/>
      <x:c r="I62" s="11"/>
    </x:row>
    <x:row r="63" spans="1:15">
      <x:c r="A63" s="14">
        <x:v>102</x:v>
      </x:c>
      <x:c r="B63" s="12"/>
      <x:c r="C63" s="16"/>
      <x:c r="D63" s="12"/>
      <x:c r="E63" s="12"/>
      <x:c r="F63" s="16"/>
      <x:c r="G63" s="12"/>
      <x:c r="H63" s="14"/>
      <x:c r="I63" s="11"/>
    </x:row>
    <x:row r="64" spans="1:15">
      <x:c r="A64" s="14">
        <x:v>104</x:v>
      </x:c>
      <x:c r="B64" s="12"/>
      <x:c r="C64" s="16"/>
      <x:c r="D64" s="12"/>
      <x:c r="E64" s="12"/>
      <x:c r="F64" s="16"/>
      <x:c r="G64" s="12"/>
      <x:c r="H64" s="14"/>
      <x:c r="I64" s="11"/>
    </x:row>
    <x:row r="65" spans="1:15">
      <x:c r="A65" s="14">
        <x:v>106</x:v>
      </x:c>
      <x:c r="B65" s="12"/>
      <x:c r="C65" s="16"/>
      <x:c r="D65" s="12"/>
      <x:c r="E65" s="12"/>
      <x:c r="F65" s="16"/>
      <x:c r="G65" s="12"/>
      <x:c r="H65" s="14"/>
      <x:c r="I65" s="11"/>
    </x:row>
    <x:row r="66" spans="1:15">
      <x:c r="A66" s="14">
        <x:v>108</x:v>
      </x:c>
      <x:c r="B66" s="12"/>
      <x:c r="C66" s="16"/>
      <x:c r="D66" s="12"/>
      <x:c r="E66" s="12"/>
      <x:c r="F66" s="16"/>
      <x:c r="G66" s="12"/>
      <x:c r="H66" s="14"/>
      <x:c r="I66" s="11"/>
    </x:row>
    <x:row r="67" spans="1:15">
      <x:c r="A67" s="14">
        <x:v>110</x:v>
      </x:c>
      <x:c r="B67" s="12"/>
      <x:c r="C67" s="16"/>
      <x:c r="D67" s="12"/>
      <x:c r="E67" s="12"/>
      <x:c r="F67" s="16"/>
      <x:c r="G67" s="12"/>
      <x:c r="H67" s="14"/>
      <x:c r="I67" s="11"/>
    </x:row>
    <x:row r="68" spans="1:15">
      <x:c r="A68" s="14">
        <x:v>112</x:v>
      </x:c>
      <x:c r="B68" s="12"/>
      <x:c r="C68" s="16"/>
      <x:c r="D68" s="12"/>
      <x:c r="E68" s="12"/>
      <x:c r="F68" s="16"/>
      <x:c r="G68" s="12"/>
      <x:c r="H68" s="14"/>
      <x:c r="I68" s="11"/>
    </x:row>
    <x:row r="69" spans="1:15">
      <x:c r="A69" s="14">
        <x:v>114</x:v>
      </x:c>
      <x:c r="B69" s="12"/>
      <x:c r="C69" s="16"/>
      <x:c r="D69" s="12"/>
      <x:c r="E69" s="12"/>
      <x:c r="F69" s="16"/>
      <x:c r="G69" s="12"/>
      <x:c r="H69" s="14"/>
      <x:c r="I69" s="11"/>
    </x:row>
    <x:row r="70" spans="1:15">
      <x:c r="A70" s="14">
        <x:v>116</x:v>
      </x:c>
      <x:c r="B70" s="12"/>
      <x:c r="C70" s="16"/>
      <x:c r="D70" s="12"/>
      <x:c r="E70" s="12"/>
      <x:c r="F70" s="16"/>
      <x:c r="G70" s="12"/>
      <x:c r="H70" s="14"/>
      <x:c r="I70" s="11"/>
    </x:row>
    <x:row r="71" spans="1:15">
      <x:c r="A71" s="14">
        <x:v>118</x:v>
      </x:c>
      <x:c r="B71" s="12"/>
      <x:c r="C71" s="16"/>
      <x:c r="D71" s="12"/>
      <x:c r="E71" s="12"/>
      <x:c r="F71" s="16"/>
      <x:c r="G71" s="12"/>
      <x:c r="H71" s="14"/>
      <x:c r="I71" s="11"/>
    </x:row>
    <x:row r="72" spans="1:15">
      <x:c r="A72" s="14">
        <x:v>120</x:v>
      </x:c>
      <x:c r="B72" s="12"/>
      <x:c r="C72" s="16"/>
      <x:c r="D72" s="12"/>
      <x:c r="E72" s="12"/>
      <x:c r="F72" s="16"/>
      <x:c r="G72" s="12"/>
      <x:c r="H72" s="14"/>
      <x:c r="I72" s="11"/>
    </x:row>
  </x:sheetData>
  <x:mergeCells count="11">
    <x:mergeCell ref="B4:C4"/>
    <x:mergeCell ref="E4:F4"/>
    <x:mergeCell ref="B5:C5"/>
    <x:mergeCell ref="E5:F5"/>
    <x:mergeCell ref="B6:C6"/>
    <x:mergeCell ref="E6:F6"/>
    <x:mergeCell ref="B7:C7"/>
    <x:mergeCell ref="E7:F7"/>
    <x:mergeCell ref="B8:C8"/>
    <x:mergeCell ref="E8:F8"/>
    <x:mergeCell ref="B9:C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32"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9"/>
  <x:sheetViews>
    <x:sheetView workbookViewId="0">
      <x:pane xSplit="1" ySplit="4" topLeftCell="B5" activePane="bottomRight" state="frozenSplit"/>
    </x:sheetView>
  </x:sheetViews>
  <x:sheetFormatPr defaultRowHeight="15"/>
  <x:cols>
    <x:col min="1" max="1" width="36.710625" style="0" customWidth="1"/>
    <x:col min="2" max="7" width="12.710625" style="0" customWidth="1"/>
    <x:col min="8" max="8" width="40.710625" style="0" customWidth="1"/>
  </x:cols>
  <x:sheetData>
    <x:row r="1" spans="1:8">
      <x:c r="A1" s="1" t="s">
        <x:v>114</x:v>
      </x:c>
    </x:row>
    <x:row r="2" spans="1:8">
      <x:c r="A2" s="2" t="s">
        <x:v>115</x:v>
      </x:c>
    </x:row>
    <x:row r="4" spans="1:8">
      <x:c r="A4" s="13" t="s">
        <x:v>116</x:v>
      </x:c>
      <x:c r="B4" s="13" t="s">
        <x:v>117</x:v>
      </x:c>
      <x:c r="C4" s="13" t="s">
        <x:v>118</x:v>
      </x:c>
      <x:c r="D4" s="13" t="s">
        <x:v>119</x:v>
      </x:c>
      <x:c r="E4" s="13" t="s">
        <x:v>120</x:v>
      </x:c>
      <x:c r="F4" s="13" t="s">
        <x:v>121</x:v>
      </x:c>
      <x:c r="G4" s="13" t="s">
        <x:v>122</x:v>
      </x:c>
      <x:c r="H4" s="13" t="s">
        <x:v>123</x:v>
      </x:c>
    </x:row>
    <x:row r="5" spans="1:8">
      <x:c r="A5" s="21" t="s">
        <x:v>124</x:v>
      </x:c>
    </x:row>
    <x:row r="6" spans="1:8">
      <x:c r="A6" s="8" t="s">
        <x:v>125</x:v>
      </x:c>
      <x:c r="B6" s="18">
        <x:f>'最低温 20℃'!$Q$12</x:f>
      </x:c>
      <x:c r="C6" s="18">
        <x:f>'最低温 20℃'!$Q$20</x:f>
      </x:c>
      <x:c r="D6" s="18">
        <x:f>'最低温 15℃'!$Q$12</x:f>
      </x:c>
      <x:c r="E6" s="18">
        <x:f>'最低温 15℃'!$Q$20</x:f>
      </x:c>
      <x:c r="F6" s="18">
        <x:f>'最低温 7℃'!$Q$12</x:f>
      </x:c>
      <x:c r="G6" s="18">
        <x:f>'最低温 7℃'!$Q$20</x:f>
      </x:c>
      <x:c r="H6" s="2" t="s">
        <x:v>126</x:v>
      </x:c>
    </x:row>
    <x:row r="7" spans="1:8">
      <x:c r="A7" s="8" t="s">
        <x:v>127</x:v>
      </x:c>
      <x:c r="B7" s="17">
        <x:f>'最低温 20℃'!$Q$13</x:f>
      </x:c>
      <x:c r="C7" s="17">
        <x:f>'最低温 20℃'!$Q$21</x:f>
      </x:c>
      <x:c r="D7" s="17">
        <x:f>'最低温 15℃'!$Q$13</x:f>
      </x:c>
      <x:c r="E7" s="17">
        <x:f>'最低温 15℃'!$Q$21</x:f>
      </x:c>
      <x:c r="F7" s="17">
        <x:f>'最低温 7℃'!$Q$13</x:f>
      </x:c>
      <x:c r="G7" s="17">
        <x:f>'最低温 7℃'!$Q$21</x:f>
      </x:c>
      <x:c r="H7" s="2" t="s">
        <x:v>128</x:v>
      </x:c>
    </x:row>
    <x:row r="8" spans="1:8">
      <x:c r="A8" s="8" t="s">
        <x:v>129</x:v>
      </x:c>
      <x:c r="B8" s="18">
        <x:f>'最低温 20℃'!$Q$14</x:f>
      </x:c>
      <x:c r="C8" s="18">
        <x:f>'最低温 20℃'!$Q$22</x:f>
      </x:c>
      <x:c r="D8" s="18">
        <x:f>'最低温 15℃'!$Q$14</x:f>
      </x:c>
      <x:c r="E8" s="18">
        <x:f>'最低温 15℃'!$Q$22</x:f>
      </x:c>
      <x:c r="F8" s="18">
        <x:f>'最低温 7℃'!$Q$14</x:f>
      </x:c>
      <x:c r="G8" s="18">
        <x:f>'最低温 7℃'!$Q$22</x:f>
      </x:c>
      <x:c r="H8" s="2" t="s">
        <x:v>130</x:v>
      </x:c>
    </x:row>
    <x:row r="9" spans="1:8">
      <x:c r="A9" s="8" t="s">
        <x:v>131</x:v>
      </x:c>
      <x:c r="B9" s="19">
        <x:f>'最低温 20℃'!$Q$15</x:f>
      </x:c>
      <x:c r="C9" s="19">
        <x:f>'最低温 20℃'!$Q$23</x:f>
      </x:c>
      <x:c r="D9" s="19">
        <x:f>'最低温 15℃'!$Q$15</x:f>
      </x:c>
      <x:c r="E9" s="19">
        <x:f>'最低温 15℃'!$Q$23</x:f>
      </x:c>
      <x:c r="F9" s="19">
        <x:f>'最低温 7℃'!$Q$15</x:f>
      </x:c>
      <x:c r="G9" s="19">
        <x:f>'最低温 7℃'!$Q$23</x:f>
      </x:c>
    </x:row>
    <x:row r="10" spans="1:8">
      <x:c r="A10" s="8" t="s">
        <x:v>132</x:v>
      </x:c>
      <x:c r="B10" s="18">
        <x:f>'最低温 20℃'!$Q$16</x:f>
      </x:c>
      <x:c r="C10" s="18">
        <x:f>'最低温 20℃'!$Q$24</x:f>
      </x:c>
      <x:c r="D10" s="18">
        <x:f>'最低温 15℃'!$Q$16</x:f>
      </x:c>
      <x:c r="E10" s="18">
        <x:f>'最低温 15℃'!$Q$24</x:f>
      </x:c>
      <x:c r="F10" s="18">
        <x:f>'最低温 7℃'!$Q$16</x:f>
      </x:c>
      <x:c r="G10" s="18">
        <x:f>'最低温 7℃'!$Q$24</x:f>
      </x:c>
    </x:row>
    <x:row r="11" spans="1:8">
      <x:c r="A11" s="8" t="s">
        <x:v>133</x:v>
      </x:c>
      <x:c r="B11" s="20">
        <x:f>'最低温 20℃'!$Q$17</x:f>
      </x:c>
      <x:c r="C11" s="20">
        <x:f>'最低温 20℃'!$Q$25</x:f>
      </x:c>
      <x:c r="D11" s="20">
        <x:f>'最低温 15℃'!$Q$17</x:f>
      </x:c>
      <x:c r="E11" s="20">
        <x:f>'最低温 15℃'!$Q$25</x:f>
      </x:c>
      <x:c r="F11" s="20">
        <x:f>'最低温 7℃'!$Q$17</x:f>
      </x:c>
      <x:c r="G11" s="20">
        <x:f>'最低温 7℃'!$Q$25</x:f>
      </x:c>
    </x:row>
    <x:row r="12" spans="1:8">
      <x:c r="A12" s="8" t="s">
        <x:v>134</x:v>
      </x:c>
      <x:c r="B12" s="19">
        <x:f>'最低温 20℃'!$Q$18</x:f>
      </x:c>
      <x:c r="C12" s="19">
        <x:f>'最低温 20℃'!$Q$26</x:f>
      </x:c>
      <x:c r="D12" s="19">
        <x:f>'最低温 15℃'!$Q$18</x:f>
      </x:c>
      <x:c r="E12" s="19">
        <x:f>'最低温 15℃'!$Q$26</x:f>
      </x:c>
      <x:c r="F12" s="19">
        <x:f>'最低温 7℃'!$Q$18</x:f>
      </x:c>
      <x:c r="G12" s="19">
        <x:f>'最低温 7℃'!$Q$26</x:f>
      </x:c>
      <x:c r="H12" s="2" t="s">
        <x:v>135</x:v>
      </x:c>
    </x:row>
    <x:row r="13" spans="1:8">
      <x:c r="A13" s="8" t="s">
        <x:v>28</x:v>
      </x:c>
      <x:c r="B13" s="18">
        <x:f>IF('最低温 20℃'!$E$5="","",'最低温 20℃'!$E$5)</x:f>
      </x:c>
      <x:c r="C13" s="18">
        <x:f>IF('最低温 20℃'!$E$5="","",'最低温 20℃'!$E$5)</x:f>
      </x:c>
      <x:c r="D13" s="18">
        <x:f>IF('最低温 15℃'!$E$5="","",'最低温 15℃'!$E$5)</x:f>
      </x:c>
      <x:c r="E13" s="18">
        <x:f>IF('最低温 15℃'!$E$5="","",'最低温 15℃'!$E$5)</x:f>
      </x:c>
      <x:c r="F13" s="18">
        <x:f>IF('最低温 7℃'!$E$5="","",'最低温 7℃'!$E$5)</x:f>
      </x:c>
      <x:c r="G13" s="18">
        <x:f>IF('最低温 7℃'!$E$5="","",'最低温 7℃'!$E$5)</x:f>
      </x:c>
    </x:row>
    <x:row r="14" spans="1:8">
      <x:c r="A14" s="8" t="s">
        <x:v>36</x:v>
      </x:c>
      <x:c r="B14" s="22">
        <x:f>IF('最低温 20℃'!$B$9="","",'最低温 20℃'!$B$9)</x:f>
      </x:c>
      <x:c r="C14" s="22">
        <x:f>IF('最低温 20℃'!$B$9="","",'最低温 20℃'!$B$9)</x:f>
      </x:c>
      <x:c r="D14" s="22">
        <x:f>IF('最低温 15℃'!$B$9="","",'最低温 15℃'!$B$9)</x:f>
      </x:c>
      <x:c r="E14" s="22">
        <x:f>IF('最低温 15℃'!$B$9="","",'最低温 15℃'!$B$9)</x:f>
      </x:c>
      <x:c r="F14" s="22">
        <x:f>IF('最低温 7℃'!$B$9="","",'最低温 7℃'!$B$9)</x:f>
      </x:c>
      <x:c r="G14" s="22">
        <x:f>IF('最低温 7℃'!$B$9="","",'最低温 7℃'!$B$9)</x:f>
      </x:c>
    </x:row>
    <x:row r="16" spans="1:8">
      <x:c r="A16" s="21" t="s">
        <x:v>136</x:v>
      </x:c>
    </x:row>
    <x:row r="17" spans="1:8">
      <x:c r="A17" s="8" t="s">
        <x:v>137</x:v>
      </x:c>
      <x:c r="B17" s="18">
        <x:f>'最高温 20℃'!$Q$14</x:f>
      </x:c>
      <x:c r="C17" s="18">
        <x:f>'最高温 20℃'!$Q$22</x:f>
      </x:c>
      <x:c r="D17" s="18">
        <x:f>'最高温 15℃'!$Q$14</x:f>
      </x:c>
      <x:c r="E17" s="18">
        <x:f>'最高温 15℃'!$Q$22</x:f>
      </x:c>
      <x:c r="F17" s="18">
        <x:f>'最高温 7℃'!$Q$14</x:f>
      </x:c>
      <x:c r="G17" s="18">
        <x:f>'最高温 7℃'!$Q$22</x:f>
      </x:c>
    </x:row>
    <x:row r="18" spans="1:8">
      <x:c r="A18" s="8" t="s">
        <x:v>127</x:v>
      </x:c>
      <x:c r="B18" s="17">
        <x:f>'最高温 20℃'!$Q$15</x:f>
      </x:c>
      <x:c r="C18" s="17">
        <x:f>'最高温 20℃'!$Q$23</x:f>
      </x:c>
      <x:c r="D18" s="17">
        <x:f>'最高温 15℃'!$Q$15</x:f>
      </x:c>
      <x:c r="E18" s="17">
        <x:f>'最高温 15℃'!$Q$23</x:f>
      </x:c>
      <x:c r="F18" s="17">
        <x:f>'最高温 7℃'!$Q$15</x:f>
      </x:c>
      <x:c r="G18" s="17">
        <x:f>'最高温 7℃'!$Q$23</x:f>
      </x:c>
      <x:c r="H18" s="2" t="s">
        <x:v>138</x:v>
      </x:c>
    </x:row>
    <x:row r="19" spans="1:8">
      <x:c r="A19" s="8" t="s">
        <x:v>139</x:v>
      </x:c>
      <x:c r="B19" s="18">
        <x:f>'最高温 20℃'!$Q$16</x:f>
      </x:c>
      <x:c r="C19" s="18">
        <x:f>'最高温 20℃'!$Q$24</x:f>
      </x:c>
      <x:c r="D19" s="18">
        <x:f>'最高温 15℃'!$Q$16</x:f>
      </x:c>
      <x:c r="E19" s="18">
        <x:f>'最高温 15℃'!$Q$24</x:f>
      </x:c>
      <x:c r="F19" s="18">
        <x:f>'最高温 7℃'!$Q$16</x:f>
      </x:c>
      <x:c r="G19" s="18">
        <x:f>'最高温 7℃'!$Q$24</x:f>
      </x:c>
      <x:c r="H19" s="2" t="s">
        <x:v>140</x:v>
      </x:c>
    </x:row>
    <x:row r="20" spans="1:8">
      <x:c r="A20" s="8" t="s">
        <x:v>141</x:v>
      </x:c>
      <x:c r="B20" s="19">
        <x:f>'最高温 20℃'!$Q$17</x:f>
      </x:c>
      <x:c r="C20" s="19">
        <x:f>'最高温 20℃'!$Q$25</x:f>
      </x:c>
      <x:c r="D20" s="19">
        <x:f>'最高温 15℃'!$Q$17</x:f>
      </x:c>
      <x:c r="E20" s="19">
        <x:f>'最高温 15℃'!$Q$25</x:f>
      </x:c>
      <x:c r="F20" s="19">
        <x:f>'最高温 7℃'!$Q$17</x:f>
      </x:c>
      <x:c r="G20" s="19">
        <x:f>'最高温 7℃'!$Q$25</x:f>
      </x:c>
    </x:row>
    <x:row r="21" spans="1:8">
      <x:c r="A21" s="8" t="s">
        <x:v>132</x:v>
      </x:c>
      <x:c r="B21" s="18">
        <x:f>'最高温 20℃'!$Q$18</x:f>
      </x:c>
      <x:c r="C21" s="18">
        <x:f>'最高温 20℃'!$Q$26</x:f>
      </x:c>
      <x:c r="D21" s="18">
        <x:f>'最高温 15℃'!$Q$18</x:f>
      </x:c>
      <x:c r="E21" s="18">
        <x:f>'最高温 15℃'!$Q$26</x:f>
      </x:c>
      <x:c r="F21" s="18">
        <x:f>'最高温 7℃'!$Q$18</x:f>
      </x:c>
      <x:c r="G21" s="18">
        <x:f>'最高温 7℃'!$Q$26</x:f>
      </x:c>
    </x:row>
    <x:row r="22" spans="1:8">
      <x:c r="A22" s="8" t="s">
        <x:v>133</x:v>
      </x:c>
      <x:c r="B22" s="20">
        <x:f>'最高温 20℃'!$Q$19</x:f>
      </x:c>
      <x:c r="C22" s="20">
        <x:f>'最高温 20℃'!$Q$27</x:f>
      </x:c>
      <x:c r="D22" s="20">
        <x:f>'最高温 15℃'!$Q$19</x:f>
      </x:c>
      <x:c r="E22" s="20">
        <x:f>'最高温 15℃'!$Q$27</x:f>
      </x:c>
      <x:c r="F22" s="20">
        <x:f>'最高温 7℃'!$Q$19</x:f>
      </x:c>
      <x:c r="G22" s="20">
        <x:f>'最高温 7℃'!$Q$27</x:f>
      </x:c>
    </x:row>
    <x:row r="23" spans="1:8">
      <x:c r="A23" s="8" t="s">
        <x:v>142</x:v>
      </x:c>
      <x:c r="B23" s="19">
        <x:f>'最高温 20℃'!$Q$20</x:f>
      </x:c>
      <x:c r="C23" s="19">
        <x:f>'最高温 20℃'!$Q$28</x:f>
      </x:c>
      <x:c r="D23" s="19">
        <x:f>'最高温 15℃'!$Q$20</x:f>
      </x:c>
      <x:c r="E23" s="19">
        <x:f>'最高温 15℃'!$Q$28</x:f>
      </x:c>
      <x:c r="F23" s="19">
        <x:f>'最高温 7℃'!$Q$20</x:f>
      </x:c>
      <x:c r="G23" s="19">
        <x:f>'最高温 7℃'!$Q$28</x:f>
      </x:c>
    </x:row>
    <x:row r="24" spans="1:8">
      <x:c r="A24" s="8" t="s">
        <x:v>28</x:v>
      </x:c>
      <x:c r="B24" s="18">
        <x:f>IF('最高温 20℃'!$E$5="","",'最高温 20℃'!$E$5)</x:f>
      </x:c>
      <x:c r="C24" s="18">
        <x:f>IF('最高温 20℃'!$E$5="","",'最高温 20℃'!$E$5)</x:f>
      </x:c>
      <x:c r="D24" s="18">
        <x:f>IF('最高温 15℃'!$E$5="","",'最高温 15℃'!$E$5)</x:f>
      </x:c>
      <x:c r="E24" s="18">
        <x:f>IF('最高温 15℃'!$E$5="","",'最高温 15℃'!$E$5)</x:f>
      </x:c>
      <x:c r="F24" s="18">
        <x:f>IF('最高温 7℃'!$E$5="","",'最高温 7℃'!$E$5)</x:f>
      </x:c>
      <x:c r="G24" s="18">
        <x:f>IF('最高温 7℃'!$E$5="","",'最高温 7℃'!$E$5)</x:f>
      </x:c>
    </x:row>
    <x:row r="25" spans="1:8">
      <x:c r="A25" s="8" t="s">
        <x:v>36</x:v>
      </x:c>
      <x:c r="B25" s="22">
        <x:f>IF('最高温 20℃'!$E$10="","",'最高温 20℃'!$E$10)</x:f>
      </x:c>
      <x:c r="C25" s="22">
        <x:f>IF('最高温 20℃'!$E$10="","",'最高温 20℃'!$E$10)</x:f>
      </x:c>
      <x:c r="D25" s="22">
        <x:f>IF('最高温 15℃'!$E$10="","",'最高温 15℃'!$E$10)</x:f>
      </x:c>
      <x:c r="E25" s="22">
        <x:f>IF('最高温 15℃'!$E$10="","",'最高温 15℃'!$E$10)</x:f>
      </x:c>
      <x:c r="F25" s="22">
        <x:f>IF('最高温 7℃'!$E$10="","",'最高温 7℃'!$E$10)</x:f>
      </x:c>
      <x:c r="G25" s="22">
        <x:f>IF('最高温 7℃'!$E$10="","",'最高温 7℃'!$E$10)</x:f>
      </x:c>
    </x:row>
    <x:row r="27" spans="1:8">
      <x:c r="A27" s="21" t="s">
        <x:v>143</x:v>
      </x:c>
    </x:row>
    <x:row r="28" spans="1:8">
      <x:c r="A28" s="8" t="s">
        <x:v>144</x:v>
      </x:c>
      <x:c r="B28" s="19">
        <x:f>'恒温 20℃'!$L$12</x:f>
      </x:c>
      <x:c r="C28" s="19">
        <x:f>'恒温 20℃'!$L$20</x:f>
      </x:c>
      <x:c r="D28" s="19">
        <x:f>'恒温 15℃'!$L$12</x:f>
      </x:c>
      <x:c r="E28" s="19">
        <x:f>'恒温 15℃'!$L$20</x:f>
      </x:c>
      <x:c r="F28" s="19">
        <x:f>'恒温 7℃'!$L$12</x:f>
      </x:c>
      <x:c r="G28" s="19">
        <x:f>'恒温 7℃'!$L$20</x:f>
      </x:c>
    </x:row>
    <x:row r="29" spans="1:8">
      <x:c r="A29" s="8" t="s">
        <x:v>145</x:v>
      </x:c>
      <x:c r="B29" s="19">
        <x:f>'恒温 20℃'!$L$13</x:f>
      </x:c>
      <x:c r="C29" s="19">
        <x:f>'恒温 20℃'!$L$21</x:f>
      </x:c>
      <x:c r="D29" s="19">
        <x:f>'恒温 15℃'!$L$13</x:f>
      </x:c>
      <x:c r="E29" s="19">
        <x:f>'恒温 15℃'!$L$21</x:f>
      </x:c>
      <x:c r="F29" s="19">
        <x:f>'恒温 7℃'!$L$13</x:f>
      </x:c>
      <x:c r="G29" s="19">
        <x:f>'恒温 7℃'!$L$21</x:f>
      </x:c>
    </x:row>
    <x:row r="30" spans="1:8">
      <x:c r="A30" s="8" t="s">
        <x:v>146</x:v>
      </x:c>
      <x:c r="B30" s="19">
        <x:f>'恒温 20℃'!$L$14</x:f>
      </x:c>
      <x:c r="C30" s="19">
        <x:f>'恒温 20℃'!$L$22</x:f>
      </x:c>
      <x:c r="D30" s="19">
        <x:f>'恒温 15℃'!$L$14</x:f>
      </x:c>
      <x:c r="E30" s="19">
        <x:f>'恒温 15℃'!$L$22</x:f>
      </x:c>
      <x:c r="F30" s="19">
        <x:f>'恒温 7℃'!$L$14</x:f>
      </x:c>
      <x:c r="G30" s="19">
        <x:f>'恒温 7℃'!$L$22</x:f>
      </x:c>
    </x:row>
    <x:row r="31" spans="1:8">
      <x:c r="A31" s="8" t="s">
        <x:v>147</x:v>
      </x:c>
      <x:c r="B31" s="20">
        <x:f>'恒温 20℃'!$L$15</x:f>
      </x:c>
      <x:c r="C31" s="20">
        <x:f>'恒温 20℃'!$L$23</x:f>
      </x:c>
      <x:c r="D31" s="20">
        <x:f>'恒温 15℃'!$L$15</x:f>
      </x:c>
      <x:c r="E31" s="20">
        <x:f>'恒温 15℃'!$L$23</x:f>
      </x:c>
      <x:c r="F31" s="20">
        <x:f>'恒温 7℃'!$L$15</x:f>
      </x:c>
      <x:c r="G31" s="20">
        <x:f>'恒温 7℃'!$L$23</x:f>
      </x:c>
    </x:row>
    <x:row r="32" spans="1:8">
      <x:c r="A32" s="8" t="s">
        <x:v>148</x:v>
      </x:c>
      <x:c r="B32" s="19">
        <x:f>'恒温 20℃'!$L$16</x:f>
      </x:c>
      <x:c r="C32" s="19">
        <x:f>'恒温 20℃'!$L$24</x:f>
      </x:c>
      <x:c r="D32" s="19">
        <x:f>'恒温 15℃'!$L$16</x:f>
      </x:c>
      <x:c r="E32" s="19">
        <x:f>'恒温 15℃'!$L$24</x:f>
      </x:c>
      <x:c r="F32" s="19">
        <x:f>'恒温 7℃'!$L$16</x:f>
      </x:c>
      <x:c r="G32" s="19">
        <x:f>'恒温 7℃'!$L$24</x:f>
      </x:c>
    </x:row>
    <x:row r="33" spans="1:8">
      <x:c r="A33" s="8" t="s">
        <x:v>149</x:v>
      </x:c>
      <x:c r="B33" s="19">
        <x:f>'恒温 20℃'!$L$17</x:f>
      </x:c>
      <x:c r="C33" s="19">
        <x:f>'恒温 20℃'!$L$25</x:f>
      </x:c>
      <x:c r="D33" s="19">
        <x:f>'恒温 15℃'!$L$17</x:f>
      </x:c>
      <x:c r="E33" s="19">
        <x:f>'恒温 15℃'!$L$25</x:f>
      </x:c>
      <x:c r="F33" s="19">
        <x:f>'恒温 7℃'!$L$17</x:f>
      </x:c>
      <x:c r="G33" s="19">
        <x:f>'恒温 7℃'!$L$25</x:f>
      </x:c>
    </x:row>
    <x:row r="34" spans="1:8">
      <x:c r="A34" s="8" t="s">
        <x:v>132</x:v>
      </x:c>
      <x:c r="B34" s="18">
        <x:f>'恒温 20℃'!$L$18</x:f>
      </x:c>
      <x:c r="C34" s="18">
        <x:f>'恒温 20℃'!$L$26</x:f>
      </x:c>
      <x:c r="D34" s="18">
        <x:f>'恒温 15℃'!$L$18</x:f>
      </x:c>
      <x:c r="E34" s="18">
        <x:f>'恒温 15℃'!$L$26</x:f>
      </x:c>
      <x:c r="F34" s="18">
        <x:f>'恒温 7℃'!$L$18</x:f>
      </x:c>
      <x:c r="G34" s="18">
        <x:f>'恒温 7℃'!$L$26</x:f>
      </x:c>
    </x:row>
    <x:row r="35" spans="1:8">
      <x:c r="A35" s="8" t="s">
        <x:v>111</x:v>
      </x:c>
      <x:c r="B35" s="17">
        <x:f>'恒温 20℃'!$L$28</x:f>
      </x:c>
      <x:c r="C35" s="17">
        <x:f>'恒温 20℃'!$L$28</x:f>
      </x:c>
      <x:c r="D35" s="17">
        <x:f>'恒温 15℃'!$L$28</x:f>
      </x:c>
      <x:c r="E35" s="17">
        <x:f>'恒温 15℃'!$L$28</x:f>
      </x:c>
      <x:c r="F35" s="17">
        <x:f>'恒温 7℃'!$L$28</x:f>
      </x:c>
      <x:c r="G35" s="17">
        <x:f>'恒温 7℃'!$L$28</x:f>
      </x:c>
      <x:c r="H35" s="2" t="s">
        <x:v>150</x:v>
      </x:c>
    </x:row>
    <x:row r="36" spans="1:8">
      <x:c r="A36" s="8" t="s">
        <x:v>28</x:v>
      </x:c>
      <x:c r="B36" s="18">
        <x:f>IF('恒温 20℃'!$E$5="","",'恒温 20℃'!$E$5)</x:f>
      </x:c>
      <x:c r="C36" s="18">
        <x:f>IF('恒温 20℃'!$E$5="","",'恒温 20℃'!$E$5)</x:f>
      </x:c>
      <x:c r="D36" s="18">
        <x:f>IF('恒温 15℃'!$E$5="","",'恒温 15℃'!$E$5)</x:f>
      </x:c>
      <x:c r="E36" s="18">
        <x:f>IF('恒温 15℃'!$E$5="","",'恒温 15℃'!$E$5)</x:f>
      </x:c>
      <x:c r="F36" s="18">
        <x:f>IF('恒温 7℃'!$E$5="","",'恒温 7℃'!$E$5)</x:f>
      </x:c>
      <x:c r="G36" s="18">
        <x:f>IF('恒温 7℃'!$E$5="","",'恒温 7℃'!$E$5)</x:f>
      </x:c>
    </x:row>
    <x:row r="37" spans="1:8">
      <x:c r="A37" s="8" t="s">
        <x:v>36</x:v>
      </x:c>
      <x:c r="B37" s="22">
        <x:f>IF('恒温 20℃'!$E$8="","",'恒温 20℃'!$E$8)</x:f>
      </x:c>
      <x:c r="C37" s="22">
        <x:f>IF('恒温 20℃'!$E$8="","",'恒温 20℃'!$E$8)</x:f>
      </x:c>
      <x:c r="D37" s="22">
        <x:f>IF('恒温 15℃'!$E$8="","",'恒温 15℃'!$E$8)</x:f>
      </x:c>
      <x:c r="E37" s="22">
        <x:f>IF('恒温 15℃'!$E$8="","",'恒温 15℃'!$E$8)</x:f>
      </x:c>
      <x:c r="F37" s="22">
        <x:f>IF('恒温 7℃'!$E$8="","",'恒温 7℃'!$E$8)</x:f>
      </x:c>
      <x:c r="G37" s="22">
        <x:f>IF('恒温 7℃'!$E$8="","",'恒温 7℃'!$E$8)</x:f>
      </x:c>
    </x:row>
    <x:row r="39" spans="1:8">
      <x:c r="A39" s="2" t="s">
        <x:v>151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3">
      <vt:lpstr>说明</vt:lpstr>
      <vt:lpstr>最低温 20℃</vt:lpstr>
      <vt:lpstr>最低温 15℃</vt:lpstr>
      <vt:lpstr>最低温 7℃</vt:lpstr>
      <vt:lpstr>最高温 20℃</vt:lpstr>
      <vt:lpstr>最高温 15℃</vt:lpstr>
      <vt:lpstr>最高温 7℃</vt:lpstr>
      <vt:lpstr>恒温 20℃</vt:lpstr>
      <vt:lpstr>恒温 15℃</vt:lpstr>
      <vt:lpstr>恒温 7℃</vt:lpstr>
      <vt:lpstr>结果汇总</vt:lpstr>
      <vt:lpstr>说明!Print_Area</vt:lpstr>
      <vt:lpstr>说明!Print_Titles</vt:lpstr>
      <vt:lpstr>最低温 20℃!Print_Area</vt:lpstr>
      <vt:lpstr>最低温 20℃!Print_Titles</vt:lpstr>
      <vt:lpstr>最低温 15℃!Print_Area</vt:lpstr>
      <vt:lpstr>最低温 15℃!Print_Titles</vt:lpstr>
      <vt:lpstr>最低温 7℃!Print_Area</vt:lpstr>
      <vt:lpstr>最低温 7℃!Print_Titles</vt:lpstr>
      <vt:lpstr>最高温 20℃!Print_Area</vt:lpstr>
      <vt:lpstr>最高温 20℃!Print_Titles</vt:lpstr>
      <vt:lpstr>最高温 15℃!Print_Area</vt:lpstr>
      <vt:lpstr>最高温 15℃!Print_Titles</vt:lpstr>
      <vt:lpstr>最高温 7℃!Print_Area</vt:lpstr>
      <vt:lpstr>最高温 7℃!Print_Titles</vt:lpstr>
      <vt:lpstr>恒温 20℃!Print_Area</vt:lpstr>
      <vt:lpstr>恒温 20℃!Print_Titles</vt:lpstr>
      <vt:lpstr>恒温 15℃!Print_Area</vt:lpstr>
      <vt:lpstr>恒温 15℃!Print_Titles</vt:lpstr>
      <vt:lpstr>恒温 7℃!Print_Area</vt:lpstr>
      <vt:lpstr>恒温 7℃!Print_Titles</vt:lpstr>
      <vt:lpstr>结果汇总!Print_Area</vt:lpstr>
      <vt:lpstr>结果汇总!Print_Titles</vt:lpstr>
    </vt:vector>
  </ap:TitlesOfParts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